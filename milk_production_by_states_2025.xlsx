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120" yWindow="20" windowWidth="18960" windowHeight="11020" firstSheet="2" activeTab="2"/>
  </bookViews>
  <sheets>
    <sheet name="Sheet1" sheetId="2" state="hidden" r:id="rId1"/>
    <sheet name="Table 1" sheetId="1" state="hidden" r:id="rId2"/>
    <sheet name="Dash" sheetId="4" r:id="rId3"/>
    <sheet name="Sheet2" sheetId="3" state="hidden" r:id="rId4"/>
    <sheet name="Sheet4" sheetId="5" state="hidden" r:id="rId5"/>
    <sheet name="Sheet6" sheetId="7" state="hidden" r:id="rId6"/>
  </sheets>
  <definedNames>
    <definedName name="_xlnm._FilterDatabase" localSheetId="4" hidden="1">Sheet4!$A$26:$X$63</definedName>
    <definedName name="_xlnm._FilterDatabase" localSheetId="5" hidden="1">Sheet6!$A$1:$D$689</definedName>
    <definedName name="_xlnm._FilterDatabase" localSheetId="1" hidden="1">'Table 1'!$A$1:$X$39</definedName>
    <definedName name="Slicer_Region">#N/A</definedName>
    <definedName name="Slicer_State">#N/A</definedName>
    <definedName name="Slicer_Year">#N/A</definedName>
  </definedNames>
  <calcPr calcId="144525"/>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4" l="1"/>
  <c r="S10" i="4"/>
  <c r="S22" i="4"/>
  <c r="N10" i="4" l="1"/>
  <c r="N11" i="4"/>
  <c r="N12" i="4"/>
  <c r="N13" i="4"/>
  <c r="N14" i="4"/>
  <c r="N15" i="4"/>
  <c r="N16" i="4"/>
  <c r="N17" i="4"/>
  <c r="N8" i="4"/>
  <c r="C14" i="4"/>
  <c r="C15" i="4"/>
  <c r="C16" i="4"/>
  <c r="C17" i="4"/>
  <c r="C13" i="4"/>
  <c r="C12" i="4"/>
  <c r="C8" i="4"/>
  <c r="AA33" i="2" l="1"/>
  <c r="AA26" i="2"/>
  <c r="AA2" i="2"/>
  <c r="AA3" i="2"/>
  <c r="AA4" i="2"/>
  <c r="AA5" i="2"/>
  <c r="AA6" i="2"/>
  <c r="AA7" i="2"/>
  <c r="AA8" i="2"/>
  <c r="AA9" i="2"/>
  <c r="AA10" i="2"/>
  <c r="AA11" i="2"/>
  <c r="AA12" i="2"/>
  <c r="AA13" i="2"/>
  <c r="AA14" i="2"/>
  <c r="AA15" i="2"/>
  <c r="AA16" i="2"/>
  <c r="AA17" i="2"/>
  <c r="AA18" i="2"/>
  <c r="AA19" i="2"/>
  <c r="AA20" i="2"/>
  <c r="AA21" i="2"/>
  <c r="AA22" i="2"/>
  <c r="AA23" i="2"/>
  <c r="AA24" i="2"/>
  <c r="AA25" i="2"/>
  <c r="AA27" i="2"/>
  <c r="AA28" i="2"/>
  <c r="AA29" i="2"/>
  <c r="AA30" i="2"/>
  <c r="AA31" i="2"/>
  <c r="AA32" i="2"/>
  <c r="AA34" i="2"/>
  <c r="AA35" i="2"/>
  <c r="AA36" i="2"/>
  <c r="AA37" i="2"/>
  <c r="AA38" i="2"/>
  <c r="AA39" i="2"/>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alcChain>
</file>

<file path=xl/sharedStrings.xml><?xml version="1.0" encoding="utf-8"?>
<sst xmlns="http://schemas.openxmlformats.org/spreadsheetml/2006/main" count="2828" uniqueCount="161">
  <si>
    <t>State</t>
  </si>
  <si>
    <t>2001-
02</t>
  </si>
  <si>
    <t>2002-
03</t>
  </si>
  <si>
    <t>2003-
04</t>
  </si>
  <si>
    <t>2004-
05</t>
  </si>
  <si>
    <t>2005-
06</t>
  </si>
  <si>
    <t>2006-
07</t>
  </si>
  <si>
    <t>2007-
08</t>
  </si>
  <si>
    <t>2008-
09</t>
  </si>
  <si>
    <t>2009-
10</t>
  </si>
  <si>
    <t>2010-
11</t>
  </si>
  <si>
    <t>2011-
12</t>
  </si>
  <si>
    <t>2012-
13</t>
  </si>
  <si>
    <t>2013-
14</t>
  </si>
  <si>
    <t>2014-
15</t>
  </si>
  <si>
    <t>2015-
16</t>
  </si>
  <si>
    <t>2016-
17</t>
  </si>
  <si>
    <t>2017-18</t>
  </si>
  <si>
    <t>2018-19</t>
  </si>
  <si>
    <t>2019-20</t>
  </si>
  <si>
    <t>2020-21</t>
  </si>
  <si>
    <t>2021-22</t>
  </si>
  <si>
    <t>2022-
23</t>
  </si>
  <si>
    <t>2023-
24</t>
  </si>
  <si>
    <t>Total</t>
  </si>
  <si>
    <t>Region</t>
  </si>
  <si>
    <t>Total Increase</t>
  </si>
  <si>
    <t>Andhra Pradesh</t>
  </si>
  <si>
    <t>South India</t>
  </si>
  <si>
    <t>Arunachal Pradesh</t>
  </si>
  <si>
    <t>North-East India</t>
  </si>
  <si>
    <t>Assam</t>
  </si>
  <si>
    <t>Bihar</t>
  </si>
  <si>
    <t>East India</t>
  </si>
  <si>
    <t>Chhattisgarh</t>
  </si>
  <si>
    <t>Central India</t>
  </si>
  <si>
    <t>Goa</t>
  </si>
  <si>
    <t>West India</t>
  </si>
  <si>
    <t>Gujarat</t>
  </si>
  <si>
    <t>Haryana</t>
  </si>
  <si>
    <t>North India</t>
  </si>
  <si>
    <t>Himachal Pradesh</t>
  </si>
  <si>
    <t>J &amp; K</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</si>
  <si>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</si>
  <si>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</si>
  <si>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</si>
  <si>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</si>
  <si>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</si>
  <si>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</si>
  <si>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</si>
  <si>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</si>
  <si>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</si>
  <si>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</si>
  <si>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</si>
  <si>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</si>
  <si>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</si>
  <si>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</si>
  <si>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</si>
  <si>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</si>
  <si>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</si>
  <si>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</si>
  <si>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</si>
  <si>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A&amp;N Islands</t>
  </si>
  <si>
    <t>Island Territories</t>
  </si>
  <si>
    <t>Chandigarh</t>
  </si>
  <si>
    <t xml:space="preserve">58.87
</t>
  </si>
  <si>
    <t>Ladakh</t>
  </si>
  <si>
    <t>D&amp;N Haveli</t>
  </si>
  <si>
    <t>Daman &amp; Diu</t>
  </si>
  <si>
    <t>Delhi</t>
  </si>
  <si>
    <t>Lakshadweep</t>
  </si>
  <si>
    <t>Puducherry</t>
  </si>
  <si>
    <t>All India</t>
  </si>
  <si>
    <t>Milk Production in India (2001-2024)</t>
  </si>
  <si>
    <t>Total Milk Production (Tonnes)</t>
  </si>
  <si>
    <t>States (Ranking)</t>
  </si>
  <si>
    <t>Insights</t>
  </si>
  <si>
    <t>Drop Down</t>
  </si>
  <si>
    <t xml:space="preserve"> Regions (Ranking)</t>
  </si>
  <si>
    <t>State / Region Milk Production (Tonne)</t>
  </si>
  <si>
    <t>Year</t>
  </si>
  <si>
    <t>(All)</t>
  </si>
  <si>
    <t>Row Labels</t>
  </si>
  <si>
    <t>Sum of Total Increase</t>
  </si>
  <si>
    <t>Most Inrease In Milk Production</t>
  </si>
  <si>
    <t>Sum of Milk</t>
  </si>
  <si>
    <t>UP</t>
  </si>
  <si>
    <t>Consistent No 1 since 2001</t>
  </si>
  <si>
    <t>Milk Prod Groth In India</t>
  </si>
  <si>
    <t>MP</t>
  </si>
  <si>
    <t>Emerged in last 10 years | Consistent Top 3 | High Volumes</t>
  </si>
  <si>
    <t>Region Wise Milk Poduction Currently</t>
  </si>
  <si>
    <t>Gujrat</t>
  </si>
  <si>
    <t>Always been a high milk producing State | Consistent Top 4 since 2001</t>
  </si>
  <si>
    <t>Region Wise Top Milk Producers</t>
  </si>
  <si>
    <t>Consistent Performer | Maintained 4th or 5th position through out</t>
  </si>
  <si>
    <t>2001-02</t>
  </si>
  <si>
    <t>Total Milk Production In India Lastest</t>
  </si>
  <si>
    <t>Historically high milk producer | Dropped through ranks with rise of  MP and consistency of Guj, MH</t>
  </si>
  <si>
    <t>2002-03</t>
  </si>
  <si>
    <t>Region wise Milk Growth</t>
  </si>
  <si>
    <t>Consistently dropping through ranks | Stable growth</t>
  </si>
  <si>
    <t>2003-04</t>
  </si>
  <si>
    <t>Region wise Milk Production</t>
  </si>
  <si>
    <t>North East India</t>
  </si>
  <si>
    <t>Bihar &amp; Rajathan</t>
  </si>
  <si>
    <t>Grown most but still low vol as compared to Top 10</t>
  </si>
  <si>
    <t>Jammu Kashmir</t>
  </si>
  <si>
    <t>2004-05</t>
  </si>
  <si>
    <t>Grand Total</t>
  </si>
  <si>
    <t xml:space="preserve">Central India </t>
  </si>
  <si>
    <t>Boomed after 2012</t>
  </si>
  <si>
    <t>2005-06</t>
  </si>
  <si>
    <t>Region wise milk prod</t>
  </si>
  <si>
    <t xml:space="preserve">North East </t>
  </si>
  <si>
    <t>Stable growth | Nothing Extraordinary</t>
  </si>
  <si>
    <t>Region wise State wise Top Production</t>
  </si>
  <si>
    <t>2006-07</t>
  </si>
  <si>
    <t>Most Increase In Production</t>
  </si>
  <si>
    <t>Consistent growth since 2008</t>
  </si>
  <si>
    <t>Top States inRegion</t>
  </si>
  <si>
    <t>2007-08</t>
  </si>
  <si>
    <t>Highest Growth Rate</t>
  </si>
  <si>
    <t>Consistent Growth through out</t>
  </si>
  <si>
    <t>2008-09</t>
  </si>
  <si>
    <t>Linear growth after 2020 due to covid, excpected to boom after 2024-2025</t>
  </si>
  <si>
    <t>2009-10</t>
  </si>
  <si>
    <t>Big Fish (Central India)</t>
  </si>
  <si>
    <t>MP alone produces 90% of Milk from Central India</t>
  </si>
  <si>
    <t>2010-11</t>
  </si>
  <si>
    <t>Big Fish (East India)</t>
  </si>
  <si>
    <t>Bihar(48%) &amp; WB(31%) alone produces 79% from East India Region</t>
  </si>
  <si>
    <t xml:space="preserve">State Wise yearwise Top </t>
  </si>
  <si>
    <t>2011-12</t>
  </si>
  <si>
    <t>States Ranking</t>
  </si>
  <si>
    <t>Big Fish (North East India)</t>
  </si>
  <si>
    <t>Assam alone produces 67% from this region followed by Tripura(16%)</t>
  </si>
  <si>
    <t>Top Producer States</t>
  </si>
  <si>
    <t>2012-13</t>
  </si>
  <si>
    <t>Big Fish (North India)</t>
  </si>
  <si>
    <t>UP(50%)+HR(20%)+PB(14%) together produces 77% of North India's Milk followed by RAJ (11.5%)</t>
  </si>
  <si>
    <t>2013-14</t>
  </si>
  <si>
    <t>Big Fish (South India)</t>
  </si>
  <si>
    <t>Andhra(29%) + Karnataka(28%) + Telangana(21%) together produces 78% milk from this region</t>
  </si>
  <si>
    <t>2014-15</t>
  </si>
  <si>
    <t>Big Fish(West India)</t>
  </si>
  <si>
    <t>Guj(53%) + Mah(46%) together produces 99% milk from this region</t>
  </si>
  <si>
    <t>2015-16</t>
  </si>
  <si>
    <t>Big Fish 1(India)</t>
  </si>
  <si>
    <t>UP(13%) MP(10%) GUJ(9%) MAH(8%) Andhra P(7%) together produced 48.8% of India's Milk</t>
  </si>
  <si>
    <t>2016-17</t>
  </si>
  <si>
    <t>Big Fish 2(India)</t>
  </si>
  <si>
    <t>North India(31.30%) South India(24%) together produces 55.3% of India's Milk</t>
  </si>
  <si>
    <t>Big Fish India 3(India)</t>
  </si>
  <si>
    <t>North(31%)    South(24%)   West(17%)   Central(12%)   East(14%)  North East(0.01%)</t>
  </si>
  <si>
    <t>2022-23</t>
  </si>
  <si>
    <t>2023-24</t>
  </si>
  <si>
    <t>Line Chart Region Wise / State Wise</t>
  </si>
  <si>
    <t>Milk Production Progress</t>
  </si>
  <si>
    <t>Milk</t>
  </si>
  <si>
    <t>Arunanchal Pradesh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</si>
</sst>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5" x14ac:knownFonts="1">
    <font>
      <sz val="10"/>
      <color rgb="FF000000"/>
      <name val="Times New Roman"/>
      <charset val="204"/>
    </font>
    <font>
      <sz val="9"/>
      <name val="Verdana"/>
      <family val="2"/>
    </font>
    <font>
      <sz val="9"/>
      <name val="Calibri"/>
      <family val="2"/>
    </font>
    <font>
      <sz val="9"/>
      <color rgb="FF000000"/>
      <name val="Times New Roman"/>
      <family val="1"/>
    </font>
    <font>
      <sz val="10"/>
      <name val="Verdana"/>
      <family val="2"/>
    </font>
    <font>
      <sz val="10"/>
      <name val="Calibri"/>
      <family val="2"/>
    </font>
    <font>
      <sz val="10"/>
      <color rgb="FF000000"/>
      <name val="Times New Roman"/>
      <family val="1"/>
    </font>
    <font>
      <sz val="10"/>
      <color rgb="FF000000"/>
      <name val="Verdana"/>
      <family val="2"/>
    </font>
    <font>
      <sz val="10"/>
      <color rgb="FF000000"/>
      <name val="Arial"/>
      <family val="2"/>
    </font>
    <font>
      <sz val="10"/>
      <color theme="1"/>
      <name val="Arial"/>
      <family val="2"/>
    </font>
    <font>
      <b/>
      <sz val="15"/>
      <color theme="3"/>
      <name val="Calibri"/>
      <family val="2"/>
      <scheme val="minor"/>
    </font>
    <font>
      <sz val="28"/>
      <color theme="0"/>
      <name val="Times New Roman"/>
      <family val="1"/>
    </font>
    <font>
      <b/>
      <sz val="11"/>
      <color rgb="FF3F3F3F"/>
      <name val="Calibri"/>
      <family val="2"/>
      <scheme val="minor"/>
    </font>
    <font>
      <b/>
      <sz val="11"/>
      <color rgb="FFFA7D00"/>
      <name val="Calibri"/>
      <family val="2"/>
      <scheme val="minor"/>
    </font>
    <font>
      <b/>
      <sz val="10"/>
      <color rgb="FF000000"/>
      <name val="Times New Roman"/>
      <family val="1"/>
    </font>
    <font>
      <b/>
      <sz val="10"/>
      <color theme="2"/>
      <name val="Times New Roman"/>
      <family val="1"/>
    </font>
    <font>
      <b/>
      <sz val="20"/>
      <color rgb="FF00B050"/>
      <name val="Times New Roman"/>
      <family val="1"/>
    </font>
    <font>
      <b/>
      <sz val="11"/>
      <color theme="0"/>
      <name val="Times New Roman"/>
      <family val="1"/>
    </font>
    <font>
      <b/>
      <sz val="12"/>
      <color theme="0"/>
      <name val="Times New Roman"/>
      <family val="1"/>
    </font>
    <font>
      <b/>
      <sz val="16"/>
      <color theme="0"/>
      <name val="Times New Roman"/>
      <family val="1"/>
    </font>
    <font>
      <sz val="10"/>
      <color rgb="FF000000"/>
      <name val="Times New Roman"/>
      <charset val="204"/>
    </font>
    <font>
      <b/>
      <sz val="11"/>
      <color theme="0"/>
      <name val="Calibri"/>
      <family val="2"/>
      <scheme val="minor"/>
    </font>
    <font>
      <b/>
      <sz val="11"/>
      <color theme="3" tint="-0.499984740745262"/>
      <name val="Times New Roman"/>
      <family val="1"/>
    </font>
    <font>
      <b/>
      <sz val="14"/>
      <color theme="2"/>
      <name val="Times New Roman"/>
      <family val="1"/>
    </font>
    <font>
      <b/>
      <sz val="20"/>
      <color rgb="FF00B05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rgb="FFF2F2F2"/>
      </patternFill>
    </fill>
    <fill>
      <patternFill patternType="solid">
        <fgColor theme="2"/>
        <bgColor indexed="64"/>
      </patternFill>
    </fill>
    <fill>
      <patternFill patternType="solid">
        <fgColor rgb="FFA5A5A5"/>
      </patternFill>
    </fill>
    <fill>
      <patternFill patternType="solid">
        <fgColor rgb="FFFFFFCC"/>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top/>
      <bottom style="thin">
        <color rgb="FF3F3F3F"/>
      </bottom>
      <diagonal/>
    </border>
    <border>
      <left/>
      <right style="thin">
        <color rgb="FF3F3F3F"/>
      </right>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3F3F3F"/>
      </left>
      <right/>
      <top style="medium">
        <color indexed="64"/>
      </top>
      <bottom/>
      <diagonal/>
    </border>
    <border>
      <left/>
      <right style="thin">
        <color rgb="FF3F3F3F"/>
      </right>
      <top style="medium">
        <color indexed="64"/>
      </top>
      <bottom/>
      <diagonal/>
    </border>
  </borders>
  <cellStyleXfs count="6">
    <xf numFmtId="0" fontId="0" fillId="0" borderId="0"/>
    <xf numFmtId="0" fontId="10" fillId="0" borderId="8" applyNumberFormat="0" applyFill="0" applyAlignment="0" applyProtection="0"/>
    <xf numFmtId="0" fontId="12" fillId="8" borderId="10" applyNumberFormat="0" applyAlignment="0" applyProtection="0"/>
    <xf numFmtId="0" fontId="13" fillId="8" borderId="9" applyNumberFormat="0" applyAlignment="0" applyProtection="0"/>
    <xf numFmtId="0" fontId="21" fillId="10" borderId="19" applyNumberFormat="0" applyAlignment="0" applyProtection="0"/>
    <xf numFmtId="0" fontId="20" fillId="11" borderId="20" applyNumberFormat="0" applyFont="0" applyAlignment="0" applyProtection="0"/>
  </cellStyleXfs>
  <cellXfs count="88">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1" fillId="0" borderId="5" xfId="0" applyFont="1" applyFill="1" applyBorder="1" applyAlignment="1">
      <alignment horizontal="left" vertical="top" wrapText="1"/>
    </xf>
    <xf numFmtId="0" fontId="3" fillId="0" borderId="0" xfId="0" applyFont="1" applyFill="1" applyBorder="1" applyAlignment="1">
      <alignment horizontal="left" vertical="top"/>
    </xf>
    <xf numFmtId="0" fontId="4" fillId="0" borderId="1" xfId="0" applyFont="1" applyFill="1" applyBorder="1" applyAlignment="1">
      <alignment horizontal="left" vertical="top" wrapText="1"/>
    </xf>
    <xf numFmtId="0" fontId="6" fillId="0" borderId="0" xfId="0" applyFont="1" applyFill="1" applyBorder="1" applyAlignment="1">
      <alignment horizontal="left" vertical="top"/>
    </xf>
    <xf numFmtId="0" fontId="8" fillId="0" borderId="0" xfId="0" applyFont="1" applyFill="1" applyBorder="1" applyAlignment="1">
      <alignment horizontal="center" vertical="top"/>
    </xf>
    <xf numFmtId="0" fontId="9" fillId="2" borderId="6" xfId="0" applyFont="1" applyFill="1" applyBorder="1" applyAlignment="1">
      <alignment horizontal="center" vertical="center"/>
    </xf>
    <xf numFmtId="0" fontId="9" fillId="2" borderId="6" xfId="0" applyFont="1" applyFill="1" applyBorder="1" applyAlignment="1">
      <alignment horizontal="center" vertical="top"/>
    </xf>
    <xf numFmtId="2" fontId="7" fillId="0" borderId="1" xfId="0" applyNumberFormat="1" applyFont="1" applyFill="1" applyBorder="1" applyAlignment="1">
      <alignment horizontal="right" vertical="top" shrinkToFit="1"/>
    </xf>
    <xf numFmtId="2" fontId="5" fillId="0" borderId="3" xfId="0" applyNumberFormat="1" applyFont="1" applyFill="1" applyBorder="1" applyAlignment="1">
      <alignment vertical="top" wrapText="1"/>
    </xf>
    <xf numFmtId="2" fontId="6" fillId="0" borderId="4" xfId="0" applyNumberFormat="1" applyFont="1" applyFill="1" applyBorder="1" applyAlignment="1">
      <alignment vertical="top" wrapText="1"/>
    </xf>
    <xf numFmtId="2" fontId="7" fillId="0" borderId="5" xfId="0" applyNumberFormat="1" applyFont="1" applyFill="1" applyBorder="1" applyAlignment="1">
      <alignment vertical="top" shrinkToFit="1"/>
    </xf>
    <xf numFmtId="2" fontId="7" fillId="0" borderId="6" xfId="0" applyNumberFormat="1" applyFont="1" applyFill="1" applyBorder="1" applyAlignment="1">
      <alignment vertical="top" shrinkToFit="1"/>
    </xf>
    <xf numFmtId="2" fontId="7" fillId="0" borderId="5" xfId="0" applyNumberFormat="1" applyFont="1" applyFill="1" applyBorder="1" applyAlignment="1">
      <alignment horizontal="right" vertical="top" shrinkToFit="1"/>
    </xf>
    <xf numFmtId="2" fontId="6" fillId="0" borderId="1" xfId="0" applyNumberFormat="1" applyFont="1" applyFill="1" applyBorder="1" applyAlignment="1">
      <alignment horizontal="left" vertical="center" wrapText="1"/>
    </xf>
    <xf numFmtId="2" fontId="6" fillId="0" borderId="1" xfId="0" applyNumberFormat="1" applyFont="1" applyFill="1" applyBorder="1" applyAlignment="1">
      <alignment horizontal="left" wrapText="1"/>
    </xf>
    <xf numFmtId="2" fontId="0" fillId="0" borderId="0" xfId="0" applyNumberFormat="1" applyFill="1" applyBorder="1" applyAlignment="1">
      <alignment horizontal="left" vertical="top"/>
    </xf>
    <xf numFmtId="2" fontId="0" fillId="0" borderId="7" xfId="0" applyNumberFormat="1" applyFill="1" applyBorder="1" applyAlignment="1">
      <alignment horizontal="left" vertical="top"/>
    </xf>
    <xf numFmtId="0" fontId="0" fillId="0" borderId="0" xfId="0" pivotButton="1" applyFill="1" applyBorder="1" applyAlignment="1">
      <alignment horizontal="left" vertical="top"/>
    </xf>
    <xf numFmtId="2" fontId="6" fillId="0" borderId="7" xfId="0" applyNumberFormat="1" applyFont="1" applyFill="1" applyBorder="1" applyAlignment="1">
      <alignment horizontal="left" vertical="center" wrapText="1"/>
    </xf>
    <xf numFmtId="2" fontId="0" fillId="0" borderId="7" xfId="0" applyNumberFormat="1" applyFill="1" applyBorder="1" applyAlignment="1">
      <alignment horizontal="left" wrapText="1"/>
    </xf>
    <xf numFmtId="2" fontId="0" fillId="0" borderId="7" xfId="0" applyNumberFormat="1" applyFill="1" applyBorder="1" applyAlignment="1">
      <alignment horizontal="left" vertical="center" wrapText="1"/>
    </xf>
    <xf numFmtId="2" fontId="6" fillId="0" borderId="7" xfId="0" applyNumberFormat="1" applyFont="1" applyFill="1" applyBorder="1" applyAlignment="1">
      <alignment horizontal="left" vertical="top"/>
    </xf>
    <xf numFmtId="0" fontId="0" fillId="0" borderId="0" xfId="0" applyNumberFormat="1" applyFill="1" applyBorder="1" applyAlignment="1">
      <alignment horizontal="left" vertical="top"/>
    </xf>
    <xf numFmtId="164" fontId="0" fillId="0" borderId="0" xfId="0" applyNumberFormat="1" applyFill="1" applyBorder="1" applyAlignment="1">
      <alignment horizontal="left" vertical="top"/>
    </xf>
    <xf numFmtId="0" fontId="0" fillId="0" borderId="0" xfId="0" applyFill="1" applyBorder="1" applyAlignment="1">
      <alignment horizontal="left" vertical="top" wrapText="1"/>
    </xf>
    <xf numFmtId="0" fontId="6" fillId="0" borderId="0" xfId="0" applyFont="1" applyFill="1" applyBorder="1" applyAlignment="1">
      <alignment vertical="top"/>
    </xf>
    <xf numFmtId="0" fontId="0" fillId="0" borderId="0" xfId="0" applyFill="1" applyBorder="1" applyAlignment="1">
      <alignment horizontal="left" vertical="top" indent="1"/>
    </xf>
    <xf numFmtId="0" fontId="0" fillId="0" borderId="0" xfId="0" applyFill="1" applyBorder="1" applyAlignment="1">
      <alignment vertical="center"/>
    </xf>
    <xf numFmtId="0" fontId="6" fillId="0" borderId="0" xfId="0" applyFont="1" applyFill="1" applyBorder="1" applyAlignment="1">
      <alignment vertical="center"/>
    </xf>
    <xf numFmtId="0" fontId="14" fillId="0" borderId="0" xfId="0" applyFont="1" applyFill="1" applyBorder="1" applyAlignment="1">
      <alignment horizontal="left" vertical="top"/>
    </xf>
    <xf numFmtId="9" fontId="0" fillId="0" borderId="0" xfId="0" applyNumberFormat="1" applyFill="1" applyBorder="1" applyAlignment="1">
      <alignment horizontal="left" vertical="top"/>
    </xf>
    <xf numFmtId="10" fontId="0" fillId="0" borderId="0" xfId="0" applyNumberFormat="1" applyFill="1" applyBorder="1" applyAlignment="1">
      <alignment horizontal="left" vertical="top"/>
    </xf>
    <xf numFmtId="0" fontId="10" fillId="0" borderId="8" xfId="1" applyFill="1" applyAlignment="1">
      <alignment horizontal="center" vertical="top"/>
    </xf>
    <xf numFmtId="0" fontId="13" fillId="8" borderId="14" xfId="3" applyBorder="1" applyAlignment="1">
      <alignment horizontal="center" vertical="top"/>
    </xf>
    <xf numFmtId="0" fontId="13" fillId="8" borderId="0" xfId="3" applyBorder="1" applyAlignment="1">
      <alignment horizontal="center" vertical="top"/>
    </xf>
    <xf numFmtId="0" fontId="13" fillId="8" borderId="15" xfId="3" applyBorder="1" applyAlignment="1">
      <alignment horizontal="center" vertical="top"/>
    </xf>
    <xf numFmtId="0" fontId="19" fillId="7" borderId="12" xfId="0" applyFont="1" applyFill="1" applyBorder="1" applyAlignment="1">
      <alignment horizontal="center" vertical="center"/>
    </xf>
    <xf numFmtId="0" fontId="19" fillId="7" borderId="13" xfId="0" applyFont="1" applyFill="1" applyBorder="1" applyAlignment="1">
      <alignment horizontal="center" vertical="center"/>
    </xf>
    <xf numFmtId="0" fontId="19" fillId="7" borderId="0" xfId="0" applyFont="1" applyFill="1" applyBorder="1" applyAlignment="1">
      <alignment horizontal="center" vertical="center"/>
    </xf>
    <xf numFmtId="0" fontId="19" fillId="7" borderId="15" xfId="0" applyFont="1" applyFill="1" applyBorder="1" applyAlignment="1">
      <alignment horizontal="center" vertical="center"/>
    </xf>
    <xf numFmtId="0" fontId="13" fillId="8" borderId="16" xfId="3" applyBorder="1" applyAlignment="1">
      <alignment horizontal="center" vertical="top"/>
    </xf>
    <xf numFmtId="0" fontId="13" fillId="8" borderId="17" xfId="3" applyBorder="1" applyAlignment="1">
      <alignment horizontal="center" vertical="top"/>
    </xf>
    <xf numFmtId="0" fontId="13" fillId="8" borderId="18" xfId="3" applyBorder="1" applyAlignment="1">
      <alignment horizontal="center" vertical="top"/>
    </xf>
    <xf numFmtId="0" fontId="12" fillId="8" borderId="24" xfId="2" applyBorder="1" applyAlignment="1">
      <alignment horizontal="center" vertical="center" wrapText="1"/>
    </xf>
    <xf numFmtId="0" fontId="12" fillId="8" borderId="25" xfId="2" applyBorder="1" applyAlignment="1">
      <alignment horizontal="center" vertical="center" wrapText="1"/>
    </xf>
    <xf numFmtId="0" fontId="12" fillId="8" borderId="26" xfId="2" applyBorder="1" applyAlignment="1">
      <alignment horizontal="center" vertical="center" wrapText="1"/>
    </xf>
    <xf numFmtId="0" fontId="12" fillId="8" borderId="27" xfId="2" applyBorder="1" applyAlignment="1">
      <alignment horizontal="center" vertical="center" wrapText="1"/>
    </xf>
    <xf numFmtId="0" fontId="12" fillId="8" borderId="28" xfId="2" applyBorder="1" applyAlignment="1">
      <alignment horizontal="center" vertical="center" wrapText="1"/>
    </xf>
    <xf numFmtId="0" fontId="12" fillId="8" borderId="29" xfId="2" applyBorder="1" applyAlignment="1">
      <alignment horizontal="center" vertical="center" wrapText="1"/>
    </xf>
    <xf numFmtId="0" fontId="21" fillId="7" borderId="11" xfId="2" applyFont="1" applyFill="1" applyBorder="1" applyAlignment="1">
      <alignment horizontal="center" vertical="center" wrapText="1"/>
    </xf>
    <xf numFmtId="0" fontId="21" fillId="7" borderId="13" xfId="2" applyFont="1" applyFill="1" applyBorder="1" applyAlignment="1">
      <alignment horizontal="center" vertical="center" wrapText="1"/>
    </xf>
    <xf numFmtId="0" fontId="21" fillId="7" borderId="14" xfId="2" applyFont="1" applyFill="1" applyBorder="1" applyAlignment="1">
      <alignment horizontal="center" vertical="center" wrapText="1"/>
    </xf>
    <xf numFmtId="0" fontId="21" fillId="7" borderId="15" xfId="2" applyFont="1" applyFill="1" applyBorder="1" applyAlignment="1">
      <alignment horizontal="center" vertical="center" wrapText="1"/>
    </xf>
    <xf numFmtId="0" fontId="21" fillId="7" borderId="16" xfId="2" applyFont="1" applyFill="1" applyBorder="1" applyAlignment="1">
      <alignment horizontal="center" vertical="center" wrapText="1"/>
    </xf>
    <xf numFmtId="0" fontId="21" fillId="7" borderId="18" xfId="2" applyFont="1" applyFill="1" applyBorder="1" applyAlignment="1">
      <alignment horizontal="center" vertical="center" wrapText="1"/>
    </xf>
    <xf numFmtId="0" fontId="24" fillId="8" borderId="30" xfId="2" applyFont="1" applyBorder="1" applyAlignment="1">
      <alignment horizontal="center" vertical="center" wrapText="1"/>
    </xf>
    <xf numFmtId="0" fontId="24" fillId="8" borderId="31" xfId="2" applyFont="1" applyBorder="1" applyAlignment="1">
      <alignment horizontal="center" vertical="center" wrapText="1"/>
    </xf>
    <xf numFmtId="0" fontId="24" fillId="8" borderId="21" xfId="2" applyFont="1" applyBorder="1" applyAlignment="1">
      <alignment horizontal="center" vertical="center" wrapText="1"/>
    </xf>
    <xf numFmtId="0" fontId="24" fillId="8" borderId="22" xfId="2" applyFont="1" applyBorder="1" applyAlignment="1">
      <alignment horizontal="center" vertical="center" wrapText="1"/>
    </xf>
    <xf numFmtId="0" fontId="11" fillId="6" borderId="0" xfId="0" applyFont="1" applyFill="1" applyBorder="1" applyAlignment="1">
      <alignment horizontal="center" vertical="center"/>
    </xf>
    <xf numFmtId="0" fontId="0" fillId="9" borderId="0" xfId="0" applyFill="1" applyBorder="1" applyAlignment="1">
      <alignment horizontal="center" vertical="top"/>
    </xf>
    <xf numFmtId="0" fontId="22" fillId="11" borderId="23" xfId="5" applyFont="1" applyBorder="1" applyAlignment="1">
      <alignment horizontal="center" vertical="center"/>
    </xf>
    <xf numFmtId="0" fontId="23" fillId="7" borderId="23" xfId="0" applyFont="1" applyFill="1" applyBorder="1" applyAlignment="1">
      <alignment horizontal="center" vertical="center"/>
    </xf>
    <xf numFmtId="0" fontId="18" fillId="7" borderId="11" xfId="0" applyFont="1" applyFill="1" applyBorder="1" applyAlignment="1">
      <alignment horizontal="center" vertical="center"/>
    </xf>
    <xf numFmtId="0" fontId="18" fillId="7" borderId="12" xfId="0" applyFont="1" applyFill="1" applyBorder="1" applyAlignment="1">
      <alignment horizontal="center" vertical="center"/>
    </xf>
    <xf numFmtId="0" fontId="18" fillId="7" borderId="13" xfId="0" applyFont="1" applyFill="1" applyBorder="1" applyAlignment="1">
      <alignment horizontal="center" vertical="center"/>
    </xf>
    <xf numFmtId="0" fontId="18" fillId="7" borderId="14" xfId="0" applyFont="1" applyFill="1" applyBorder="1" applyAlignment="1">
      <alignment horizontal="center" vertical="center"/>
    </xf>
    <xf numFmtId="0" fontId="18" fillId="7" borderId="0" xfId="0" applyFont="1" applyFill="1" applyBorder="1" applyAlignment="1">
      <alignment horizontal="center" vertical="center"/>
    </xf>
    <xf numFmtId="0" fontId="18" fillId="7" borderId="15" xfId="0" applyFont="1" applyFill="1" applyBorder="1" applyAlignment="1">
      <alignment horizontal="center" vertical="center"/>
    </xf>
    <xf numFmtId="2" fontId="16" fillId="0" borderId="14" xfId="0" applyNumberFormat="1" applyFont="1" applyFill="1" applyBorder="1" applyAlignment="1">
      <alignment horizontal="center" vertical="center"/>
    </xf>
    <xf numFmtId="2" fontId="16" fillId="0" borderId="0" xfId="0" applyNumberFormat="1" applyFont="1" applyFill="1" applyBorder="1" applyAlignment="1">
      <alignment horizontal="center" vertical="center"/>
    </xf>
    <xf numFmtId="2" fontId="16" fillId="0" borderId="15" xfId="0" applyNumberFormat="1" applyFont="1" applyFill="1" applyBorder="1" applyAlignment="1">
      <alignment horizontal="center" vertical="center"/>
    </xf>
    <xf numFmtId="2" fontId="16" fillId="0" borderId="16" xfId="0" applyNumberFormat="1" applyFont="1" applyFill="1" applyBorder="1" applyAlignment="1">
      <alignment horizontal="center" vertical="center"/>
    </xf>
    <xf numFmtId="2" fontId="16" fillId="0" borderId="17" xfId="0" applyNumberFormat="1" applyFont="1" applyFill="1" applyBorder="1" applyAlignment="1">
      <alignment horizontal="center" vertical="center"/>
    </xf>
    <xf numFmtId="2" fontId="16" fillId="0" borderId="18" xfId="0" applyNumberFormat="1" applyFont="1" applyFill="1" applyBorder="1" applyAlignment="1">
      <alignment horizontal="center" vertical="center"/>
    </xf>
    <xf numFmtId="0" fontId="17" fillId="7" borderId="11" xfId="0" applyFont="1" applyFill="1" applyBorder="1" applyAlignment="1">
      <alignment horizontal="center" vertical="top"/>
    </xf>
    <xf numFmtId="0" fontId="17" fillId="7" borderId="12" xfId="0" applyFont="1" applyFill="1" applyBorder="1" applyAlignment="1">
      <alignment horizontal="center" vertical="top"/>
    </xf>
    <xf numFmtId="0" fontId="17" fillId="7" borderId="13" xfId="0" applyFont="1" applyFill="1" applyBorder="1" applyAlignment="1">
      <alignment horizontal="center" vertical="top"/>
    </xf>
    <xf numFmtId="0" fontId="21" fillId="10" borderId="23" xfId="4" applyBorder="1" applyAlignment="1">
      <alignment horizontal="center" vertical="center" wrapText="1"/>
    </xf>
    <xf numFmtId="0" fontId="6" fillId="3" borderId="0" xfId="0" applyFont="1" applyFill="1" applyBorder="1" applyAlignment="1">
      <alignment horizontal="center" vertical="top"/>
    </xf>
    <xf numFmtId="0" fontId="0" fillId="5" borderId="0" xfId="0" applyFill="1" applyBorder="1" applyAlignment="1">
      <alignment horizontal="center" vertical="top"/>
    </xf>
    <xf numFmtId="0" fontId="6" fillId="4" borderId="0" xfId="0" applyFont="1" applyFill="1" applyBorder="1" applyAlignment="1">
      <alignment horizontal="center" vertical="top"/>
    </xf>
    <xf numFmtId="0" fontId="0" fillId="4" borderId="0" xfId="0" applyFill="1" applyBorder="1" applyAlignment="1">
      <alignment horizontal="center" vertical="top"/>
    </xf>
    <xf numFmtId="0" fontId="15" fillId="7" borderId="0" xfId="0" applyFont="1" applyFill="1" applyBorder="1" applyAlignment="1">
      <alignment horizontal="center" vertical="top"/>
    </xf>
    <xf numFmtId="0" fontId="0" fillId="3" borderId="0" xfId="0" applyFill="1" applyBorder="1" applyAlignment="1">
      <alignment horizontal="center" vertical="top"/>
    </xf>
  </cellXfs>
  <cellStyles count="6">
    <cellStyle name="Calculation" xfId="3" builtinId="22"/>
    <cellStyle name="Check Cell" xfId="4" builtinId="23"/>
    <cellStyle name="Heading 1" xfId="1" builtinId="16"/>
    <cellStyle name="Normal" xfId="0" builtinId="0"/>
    <cellStyle name="Note" xfId="5" builtinId="10"/>
    <cellStyle name="Output" xfId="2" builtinId="21"/>
  </cellStyles>
  <dxfs count="31">
    <dxf>
      <numFmt numFmtId="164" formatCode="0.0"/>
    </dxf>
    <dxf>
      <numFmt numFmtId="164" formatCode="0.0"/>
    </dxf>
    <dxf>
      <numFmt numFmtId="2" formatCode="0.00"/>
      <border>
        <right style="thin">
          <color rgb="FF000000"/>
        </right>
      </border>
    </dxf>
    <dxf>
      <numFmt numFmtId="2" formatCode="0.00"/>
      <border>
        <right style="thin">
          <color rgb="FF000000"/>
        </right>
      </border>
    </dxf>
    <dxf>
      <numFmt numFmtId="2" formatCode="0.00"/>
    </dxf>
    <dxf>
      <numFmt numFmtId="2" formatCode="0.00"/>
      <border outline="0">
        <right style="thin">
          <color rgb="FF000000"/>
        </right>
      </border>
    </dxf>
    <dxf>
      <numFmt numFmtId="2" formatCode="0.00"/>
      <border outline="0">
        <right style="thin">
          <color rgb="FF000000"/>
        </right>
      </border>
    </dxf>
    <dxf>
      <numFmt numFmtId="2" formatCode="0.00"/>
      <border outline="0">
        <right style="thin">
          <color rgb="FF000000"/>
        </right>
      </border>
    </dxf>
    <dxf>
      <numFmt numFmtId="2" formatCode="0.00"/>
      <border outline="0">
        <right style="thin">
          <color rgb="FF000000"/>
        </right>
      </border>
    </dxf>
    <dxf>
      <numFmt numFmtId="2" formatCode="0.00"/>
      <border outline="0">
        <right style="thin">
          <color rgb="FF000000"/>
        </right>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5.5"/>
        <color rgb="FF000000"/>
        <name val="Verdana"/>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auto="1"/>
        <name val="Verdan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[milk_production_by_states_2025.xlsx]Sheet2!Growth Rate</c:name>
    <c:fmtId val="7"/>
  </c:pivotSource>
  <c:chart>
    <c:title>
      <c:tx>
        <c:rich>
          <a:bodyPr/>
          <a:lstStyle/>
          <a:p>
            <a:pPr>
              <a:defRPr>
                <a:solidFill>
                  <a:schemeClr val="accent1">
                    <a:lumMod val="50000"/>
                  </a:schemeClr>
                </a:solidFill>
              </a:defRPr>
            </a:pPr>
            <a:r>
              <a:rPr lang="en-US" b="1">
                <a:solidFill>
                  <a:schemeClr val="accent1">
                    <a:lumMod val="50000"/>
                  </a:schemeClr>
                </a:solidFill>
              </a:rPr>
              <a:t>H</a:t>
            </a:r>
            <a:r>
              <a:rPr lang="en-US">
                <a:solidFill>
                  <a:schemeClr val="accent1">
                    <a:lumMod val="50000"/>
                  </a:schemeClr>
                </a:solidFill>
              </a:rPr>
              <a:t>ighest Growth Rate</a:t>
            </a:r>
          </a:p>
        </c:rich>
      </c:tx>
      <c:layout>
        <c:manualLayout>
          <c:xMode val="edge"/>
          <c:yMode val="edge"/>
          <c:x val="0.15608761996676476"/>
          <c:y val="2.7526472983980456E-2"/>
        </c:manualLayout>
      </c:layout>
      <c:overlay val="0"/>
    </c:title>
    <c:autoTitleDeleted val="0"/>
    <c:pivotFmts>
      <c:pivotFmt>
        <c:idx val="0"/>
      </c:pivotFmt>
      <c:pivotFmt>
        <c:idx val="1"/>
      </c:pivotFmt>
      <c:pivotFmt>
        <c:idx val="2"/>
        <c:marker>
          <c:symbol val="none"/>
        </c:marker>
        <c:dLbl>
          <c:idx val="0"/>
          <c:layout/>
          <c:spPr/>
          <c:txPr>
            <a:bodyPr/>
            <a:lstStyle/>
            <a:p>
              <a:pPr>
                <a:defRPr b="1">
                  <a:solidFill>
                    <a:schemeClr val="accent2">
                      <a:lumMod val="75000"/>
                    </a:schemeClr>
                  </a:solidFill>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1"/>
        <c:ser>
          <c:idx val="0"/>
          <c:order val="0"/>
          <c:tx>
            <c:strRef>
              <c:f>Sheet2!$K$1</c:f>
              <c:strCache>
                <c:ptCount val="1"/>
                <c:pt idx="0">
                  <c:v>Total</c:v>
                </c:pt>
              </c:strCache>
            </c:strRef>
          </c:tx>
          <c:invertIfNegative val="0"/>
          <c:dLbls>
            <c:spPr/>
            <c:txPr>
              <a:bodyPr/>
              <a:lstStyle/>
              <a:p>
                <a:pPr>
                  <a:defRPr b="1">
                    <a:solidFill>
                      <a:schemeClr val="accent2">
                        <a:lumMod val="75000"/>
                      </a:schemeClr>
                    </a:solidFill>
                  </a:defRPr>
                </a:pPr>
                <a:endParaRPr lang="en-US"/>
              </a:p>
            </c:txPr>
            <c:dLblPos val="outEnd"/>
            <c:showLegendKey val="0"/>
            <c:showVal val="1"/>
            <c:showCatName val="0"/>
            <c:showSerName val="0"/>
            <c:showPercent val="0"/>
            <c:showBubbleSize val="0"/>
            <c:showLeaderLines val="0"/>
          </c:dLbls>
          <c:cat>
            <c:strRef>
              <c:f>Sheet2!$J$2:$J$9</c:f>
              <c:strCache>
                <c:ptCount val="7"/>
                <c:pt idx="0">
                  <c:v>Bihar</c:v>
                </c:pt>
                <c:pt idx="1">
                  <c:v>Rajasthan</c:v>
                </c:pt>
                <c:pt idx="2">
                  <c:v>Madhya Pradesh</c:v>
                </c:pt>
                <c:pt idx="3">
                  <c:v>Jharkhand</c:v>
                </c:pt>
                <c:pt idx="4">
                  <c:v>Gujarat</c:v>
                </c:pt>
                <c:pt idx="5">
                  <c:v>Ladakh</c:v>
                </c:pt>
                <c:pt idx="6">
                  <c:v>Lakshadweep</c:v>
                </c:pt>
              </c:strCache>
            </c:strRef>
          </c:cat>
          <c:val>
            <c:numRef>
              <c:f>Sheet2!$K$2:$K$9</c:f>
              <c:numCache>
                <c:formatCode>0.0</c:formatCode>
                <c:ptCount val="7"/>
                <c:pt idx="0">
                  <c:v>3.8246996996996998</c:v>
                </c:pt>
                <c:pt idx="1">
                  <c:v>3.4770559422531582</c:v>
                </c:pt>
                <c:pt idx="2">
                  <c:v>3.0367215597198562</c:v>
                </c:pt>
                <c:pt idx="3">
                  <c:v>2.2180851063829787</c:v>
                </c:pt>
                <c:pt idx="4">
                  <c:v>2.1238485158648923</c:v>
                </c:pt>
                <c:pt idx="5">
                  <c:v>2.0666666666666669</c:v>
                </c:pt>
                <c:pt idx="6">
                  <c:v>2</c:v>
                </c:pt>
              </c:numCache>
            </c:numRef>
          </c:val>
          <c:extLst xmlns:c16r2="http://schemas.microsoft.com/office/drawing/2015/06/chart">
            <c:ext xmlns:c16="http://schemas.microsoft.com/office/drawing/2014/chart" uri="{C3380CC4-5D6E-409C-BE32-E72D297353CC}">
              <c16:uniqueId val="{00000000-8752-44B9-971F-22120283782A}"/>
            </c:ext>
          </c:extLst>
        </c:ser>
        <c:dLbls>
          <c:showLegendKey val="0"/>
          <c:showVal val="0"/>
          <c:showCatName val="0"/>
          <c:showSerName val="0"/>
          <c:showPercent val="0"/>
          <c:showBubbleSize val="0"/>
        </c:dLbls>
        <c:gapWidth val="150"/>
        <c:axId val="199241088"/>
        <c:axId val="199242880"/>
      </c:barChart>
      <c:catAx>
        <c:axId val="199241088"/>
        <c:scaling>
          <c:orientation val="minMax"/>
        </c:scaling>
        <c:delete val="1"/>
        <c:axPos val="l"/>
        <c:numFmt formatCode="General" sourceLinked="0"/>
        <c:majorTickMark val="out"/>
        <c:minorTickMark val="none"/>
        <c:tickLblPos val="nextTo"/>
        <c:crossAx val="199242880"/>
        <c:crosses val="autoZero"/>
        <c:auto val="1"/>
        <c:lblAlgn val="ctr"/>
        <c:lblOffset val="100"/>
        <c:noMultiLvlLbl val="0"/>
      </c:catAx>
      <c:valAx>
        <c:axId val="199242880"/>
        <c:scaling>
          <c:orientation val="minMax"/>
        </c:scaling>
        <c:delete val="0"/>
        <c:axPos val="b"/>
        <c:majorGridlines/>
        <c:numFmt formatCode="0.0" sourceLinked="0"/>
        <c:majorTickMark val="out"/>
        <c:minorTickMark val="none"/>
        <c:tickLblPos val="nextTo"/>
        <c:spPr>
          <a:noFill/>
          <a:ln w="15875">
            <a:solidFill>
              <a:schemeClr val="accent4">
                <a:lumMod val="50000"/>
              </a:schemeClr>
            </a:solidFill>
          </a:ln>
          <a:effectLst/>
        </c:spPr>
        <c:txPr>
          <a:bodyPr/>
          <a:lstStyle/>
          <a:p>
            <a:pPr>
              <a:defRPr b="1">
                <a:solidFill>
                  <a:schemeClr val="accent6">
                    <a:lumMod val="75000"/>
                  </a:schemeClr>
                </a:solidFill>
              </a:defRPr>
            </a:pPr>
            <a:endParaRPr lang="en-US"/>
          </a:p>
        </c:txPr>
        <c:crossAx val="199241088"/>
        <c:crosses val="autoZero"/>
        <c:crossBetween val="between"/>
      </c:valAx>
      <c:spPr>
        <a:solidFill>
          <a:schemeClr val="accent1">
            <a:lumMod val="20000"/>
            <a:lumOff val="80000"/>
          </a:schemeClr>
        </a:solidFill>
      </c:spPr>
    </c:plotArea>
    <c:legend>
      <c:legendPos val="r"/>
      <c:layout/>
      <c:overlay val="0"/>
    </c:legend>
    <c:plotVisOnly val="1"/>
    <c:dispBlanksAs val="gap"/>
    <c:showDLblsOverMax val="0"/>
  </c:chart>
  <c:spPr>
    <a:solidFill>
      <a:schemeClr val="accent1">
        <a:lumMod val="20000"/>
        <a:lumOff val="80000"/>
      </a:schemeClr>
    </a:solidFill>
    <a:effectLst>
      <a:outerShdw blurRad="50800" dist="38100" dir="8100000" algn="tr" rotWithShape="0">
        <a:prstClr val="black">
          <a:alpha val="40000"/>
        </a:prstClr>
      </a:outerShdw>
    </a:effectLst>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[milk_production_by_states_2025.xlsx]Sheet2!Line Chart</c:name>
    <c:fmtId val="4"/>
  </c:pivotSource>
  <c:chart>
    <c:autoTitleDeleted val="1"/>
    <c:pivotFmts>
      <c:pivotFmt>
        <c:idx val="0"/>
      </c:pivotFmt>
      <c:pivotFmt>
        <c:idx val="1"/>
      </c:pivotFmt>
      <c:pivotFmt>
        <c:idx val="2"/>
      </c:pivotFmt>
      <c:pivotFmt>
        <c:idx val="3"/>
      </c:pivotFmt>
    </c:pivotFmts>
    <c:plotArea>
      <c:layout/>
      <c:lineChart>
        <c:grouping val="standard"/>
        <c:varyColors val="0"/>
        <c:ser>
          <c:idx val="0"/>
          <c:order val="0"/>
          <c:tx>
            <c:strRef>
              <c:f>Sheet2!$H$4</c:f>
              <c:strCache>
                <c:ptCount val="1"/>
                <c:pt idx="0">
                  <c:v>Total</c:v>
                </c:pt>
              </c:strCache>
            </c:strRef>
          </c:tx>
          <c:cat>
            <c:strRef>
              <c:f>Sheet2!$G$5:$G$28</c:f>
              <c:strCache>
                <c:ptCount val="23"/>
                <c:pt idx="0">
                  <c:v>2001-02</c:v>
                </c:pt>
                <c:pt idx="1">
                  <c:v>2002-03</c:v>
                </c:pt>
                <c:pt idx="2">
                  <c:v>2003-04</c:v>
                </c:pt>
                <c:pt idx="3">
                  <c:v>2004-05</c:v>
                </c:pt>
                <c:pt idx="4">
                  <c:v>2005-06</c:v>
                </c:pt>
                <c:pt idx="5">
                  <c:v>2006-07</c:v>
                </c:pt>
                <c:pt idx="6">
                  <c:v>2007-08</c:v>
                </c:pt>
                <c:pt idx="7">
                  <c:v>2008-09</c:v>
                </c:pt>
                <c:pt idx="8">
                  <c:v>2009-10</c:v>
                </c:pt>
                <c:pt idx="9">
                  <c:v>2010-11</c:v>
                </c:pt>
                <c:pt idx="10">
                  <c:v>2011-12</c:v>
                </c:pt>
                <c:pt idx="11">
                  <c:v>2012-13</c:v>
                </c:pt>
                <c:pt idx="12">
                  <c:v>2013-14</c:v>
                </c:pt>
                <c:pt idx="13">
                  <c:v>2014-15</c:v>
                </c:pt>
                <c:pt idx="14">
                  <c:v>2015-16</c:v>
                </c:pt>
                <c:pt idx="15">
                  <c:v>2016-17</c:v>
                </c:pt>
                <c:pt idx="16">
                  <c:v>2017-18</c:v>
                </c:pt>
                <c:pt idx="17">
                  <c:v>2018-19</c:v>
                </c:pt>
                <c:pt idx="18">
                  <c:v>2019-20</c:v>
                </c:pt>
                <c:pt idx="19">
                  <c:v>2020-21</c:v>
                </c:pt>
                <c:pt idx="20">
                  <c:v>2021-22</c:v>
                </c:pt>
                <c:pt idx="21">
                  <c:v>2022-23</c:v>
                </c:pt>
                <c:pt idx="22">
                  <c:v>2023-24</c:v>
                </c:pt>
              </c:strCache>
            </c:strRef>
          </c:cat>
          <c:val>
            <c:numRef>
              <c:f>Sheet2!$H$5:$H$28</c:f>
              <c:numCache>
                <c:formatCode>General</c:formatCode>
                <c:ptCount val="23"/>
                <c:pt idx="0">
                  <c:v>795</c:v>
                </c:pt>
                <c:pt idx="1">
                  <c:v>804</c:v>
                </c:pt>
                <c:pt idx="2">
                  <c:v>812</c:v>
                </c:pt>
                <c:pt idx="3">
                  <c:v>831</c:v>
                </c:pt>
                <c:pt idx="4">
                  <c:v>839</c:v>
                </c:pt>
                <c:pt idx="5">
                  <c:v>849</c:v>
                </c:pt>
                <c:pt idx="6">
                  <c:v>866</c:v>
                </c:pt>
                <c:pt idx="7">
                  <c:v>908</c:v>
                </c:pt>
                <c:pt idx="8">
                  <c:v>956</c:v>
                </c:pt>
                <c:pt idx="9">
                  <c:v>1029</c:v>
                </c:pt>
                <c:pt idx="10">
                  <c:v>1119</c:v>
                </c:pt>
                <c:pt idx="11">
                  <c:v>1164</c:v>
                </c:pt>
                <c:pt idx="12">
                  <c:v>1209</c:v>
                </c:pt>
                <c:pt idx="13">
                  <c:v>1232</c:v>
                </c:pt>
                <c:pt idx="14">
                  <c:v>1277</c:v>
                </c:pt>
                <c:pt idx="15">
                  <c:v>1374</c:v>
                </c:pt>
                <c:pt idx="16">
                  <c:v>1469</c:v>
                </c:pt>
                <c:pt idx="17">
                  <c:v>1567</c:v>
                </c:pt>
                <c:pt idx="18">
                  <c:v>1676</c:v>
                </c:pt>
                <c:pt idx="19">
                  <c:v>1747</c:v>
                </c:pt>
                <c:pt idx="20">
                  <c:v>1848</c:v>
                </c:pt>
                <c:pt idx="21">
                  <c:v>1956</c:v>
                </c:pt>
                <c:pt idx="22">
                  <c:v>2124</c:v>
                </c:pt>
              </c:numCache>
            </c:numRef>
          </c:val>
          <c:smooth val="0"/>
          <c:extLst xmlns:c16r2="http://schemas.microsoft.com/office/drawing/2015/06/chart">
            <c:ext xmlns:c16="http://schemas.microsoft.com/office/drawing/2014/chart" uri="{C3380CC4-5D6E-409C-BE32-E72D297353CC}">
              <c16:uniqueId val="{00000000-91BF-4DB0-BE7F-3E664AFF09CC}"/>
            </c:ext>
          </c:extLst>
        </c:ser>
        <c:dLbls>
          <c:showLegendKey val="0"/>
          <c:showVal val="0"/>
          <c:showCatName val="0"/>
          <c:showSerName val="0"/>
          <c:showPercent val="0"/>
          <c:showBubbleSize val="0"/>
        </c:dLbls>
        <c:dropLines>
          <c:spPr>
            <a:ln w="9525" cap="flat" cmpd="sng" algn="ctr">
              <a:solidFill>
                <a:schemeClr val="accent2">
                  <a:shade val="95000"/>
                  <a:satMod val="105000"/>
                </a:schemeClr>
              </a:solidFill>
              <a:prstDash val="solid"/>
            </a:ln>
            <a:effectLst/>
          </c:spPr>
        </c:dropLines>
        <c:marker val="1"/>
        <c:smooth val="0"/>
        <c:axId val="199284992"/>
        <c:axId val="199688192"/>
      </c:lineChart>
      <c:catAx>
        <c:axId val="199284992"/>
        <c:scaling>
          <c:orientation val="minMax"/>
        </c:scaling>
        <c:delete val="0"/>
        <c:axPos val="b"/>
        <c:numFmt formatCode="General" sourceLinked="0"/>
        <c:majorTickMark val="none"/>
        <c:minorTickMark val="none"/>
        <c:tickLblPos val="nextTo"/>
        <c:txPr>
          <a:bodyPr/>
          <a:lstStyle/>
          <a:p>
            <a:pPr>
              <a:defRPr b="1">
                <a:solidFill>
                  <a:schemeClr val="accent6">
                    <a:lumMod val="50000"/>
                  </a:schemeClr>
                </a:solidFill>
              </a:defRPr>
            </a:pPr>
            <a:endParaRPr lang="en-US"/>
          </a:p>
        </c:txPr>
        <c:crossAx val="199688192"/>
        <c:crosses val="autoZero"/>
        <c:auto val="1"/>
        <c:lblAlgn val="ctr"/>
        <c:lblOffset val="100"/>
        <c:noMultiLvlLbl val="0"/>
      </c:catAx>
      <c:valAx>
        <c:axId val="199688192"/>
        <c:scaling>
          <c:orientation val="minMax"/>
        </c:scaling>
        <c:delete val="0"/>
        <c:axPos val="l"/>
        <c:majorGridlines/>
        <c:title>
          <c:tx>
            <c:rich>
              <a:bodyPr/>
              <a:lstStyle/>
              <a:p>
                <a:pPr>
                  <a:defRPr sz="1200">
                    <a:solidFill>
                      <a:schemeClr val="accent6">
                        <a:lumMod val="75000"/>
                      </a:schemeClr>
                    </a:solidFill>
                  </a:defRPr>
                </a:pPr>
                <a:endParaRPr lang="en-US" sz="1200">
                  <a:solidFill>
                    <a:schemeClr val="accent6">
                      <a:lumMod val="75000"/>
                    </a:schemeClr>
                  </a:solidFill>
                </a:endParaRPr>
              </a:p>
              <a:p>
                <a:pPr>
                  <a:defRPr sz="1200">
                    <a:solidFill>
                      <a:schemeClr val="accent6">
                        <a:lumMod val="75000"/>
                      </a:schemeClr>
                    </a:solidFill>
                  </a:defRPr>
                </a:pPr>
                <a:r>
                  <a:rPr lang="en-US" sz="1200">
                    <a:solidFill>
                      <a:schemeClr val="accent6">
                        <a:lumMod val="75000"/>
                      </a:schemeClr>
                    </a:solidFill>
                  </a:rPr>
                  <a:t>Tonnes</a:t>
                </a:r>
              </a:p>
            </c:rich>
          </c:tx>
          <c:layout>
            <c:manualLayout>
              <c:xMode val="edge"/>
              <c:yMode val="edge"/>
              <c:x val="0"/>
              <c:y val="0.36685173968638535"/>
            </c:manualLayout>
          </c:layout>
          <c:overlay val="0"/>
        </c:title>
        <c:numFmt formatCode="General" sourceLinked="1"/>
        <c:majorTickMark val="out"/>
        <c:minorTickMark val="none"/>
        <c:tickLblPos val="nextTo"/>
        <c:txPr>
          <a:bodyPr/>
          <a:lstStyle/>
          <a:p>
            <a:pPr>
              <a:defRPr sz="1050" b="1">
                <a:solidFill>
                  <a:schemeClr val="accent1">
                    <a:lumMod val="75000"/>
                  </a:schemeClr>
                </a:solidFill>
              </a:defRPr>
            </a:pPr>
            <a:endParaRPr lang="en-US"/>
          </a:p>
        </c:txPr>
        <c:crossAx val="199284992"/>
        <c:crosses val="autoZero"/>
        <c:crossBetween val="between"/>
      </c:valAx>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[milk_production_by_states_2025.xlsx]Sheet2!Milk Production Region Wise</c:name>
    <c:fmtId val="2"/>
  </c:pivotSource>
  <c:chart>
    <c:title>
      <c:tx>
        <c:rich>
          <a:bodyPr/>
          <a:lstStyle/>
          <a:p>
            <a:pPr>
              <a:defRPr/>
            </a:pPr>
            <a:r>
              <a:rPr lang="en-US"/>
              <a:t>Milk Production Region Wise</a:t>
            </a:r>
          </a:p>
        </c:rich>
      </c:tx>
      <c:layout>
        <c:manualLayout>
          <c:xMode val="edge"/>
          <c:yMode val="edge"/>
          <c:x val="0.18352995051709006"/>
          <c:y val="4.0590467592824787E-2"/>
        </c:manualLayout>
      </c:layout>
      <c:overlay val="0"/>
    </c:title>
    <c:autoTitleDeleted val="0"/>
    <c:pivotFmts>
      <c:pivotFmt>
        <c:idx val="0"/>
      </c:pivotFmt>
      <c:pivotFmt>
        <c:idx val="1"/>
      </c:pivotFmt>
      <c:pivotFmt>
        <c:idx val="2"/>
        <c:marker>
          <c:symbol val="none"/>
        </c:marker>
      </c:pivotFmt>
    </c:pivotFmts>
    <c:plotArea>
      <c:layout>
        <c:manualLayout>
          <c:layoutTarget val="inner"/>
          <c:xMode val="edge"/>
          <c:yMode val="edge"/>
          <c:x val="3.3172121659267556E-2"/>
          <c:y val="0.23932627848270557"/>
          <c:w val="0.5433343085749176"/>
          <c:h val="0.71406356052627185"/>
        </c:manualLayout>
      </c:layout>
      <c:doughnutChart>
        <c:varyColors val="1"/>
        <c:ser>
          <c:idx val="0"/>
          <c:order val="0"/>
          <c:tx>
            <c:strRef>
              <c:f>Sheet2!$N$5</c:f>
              <c:strCache>
                <c:ptCount val="1"/>
                <c:pt idx="0">
                  <c:v>Total</c:v>
                </c:pt>
              </c:strCache>
            </c:strRef>
          </c:tx>
          <c:cat>
            <c:multiLvlStrRef>
              <c:f>Sheet2!$M$6:$M$42</c:f>
              <c:multiLvlStrCache>
                <c:ptCount val="30"/>
                <c:lvl>
                  <c:pt idx="0">
                    <c:v>Chhattisgarh</c:v>
                  </c:pt>
                  <c:pt idx="1">
                    <c:v>Madhya Pradesh</c:v>
                  </c:pt>
                  <c:pt idx="2">
                    <c:v>Bihar</c:v>
                  </c:pt>
                  <c:pt idx="3">
                    <c:v>Jharkhand</c:v>
                  </c:pt>
                  <c:pt idx="4">
                    <c:v>Odisha</c:v>
                  </c:pt>
                  <c:pt idx="5">
                    <c:v>West Bengal</c:v>
                  </c:pt>
                  <c:pt idx="6">
                    <c:v>Arunanchal Pradesh</c:v>
                  </c:pt>
                  <c:pt idx="7">
                    <c:v>Assam</c:v>
                  </c:pt>
                  <c:pt idx="8">
                    <c:v>Manipur</c:v>
                  </c:pt>
                  <c:pt idx="9">
                    <c:v>Meghalaya</c:v>
                  </c:pt>
                  <c:pt idx="10">
                    <c:v>Mizoram</c:v>
                  </c:pt>
                  <c:pt idx="11">
                    <c:v>Nagaland</c:v>
                  </c:pt>
                  <c:pt idx="12">
                    <c:v>Sikkim</c:v>
                  </c:pt>
                  <c:pt idx="13">
                    <c:v>Tripura</c:v>
                  </c:pt>
                  <c:pt idx="14">
                    <c:v>Delhi</c:v>
                  </c:pt>
                  <c:pt idx="15">
                    <c:v>Haryana</c:v>
                  </c:pt>
                  <c:pt idx="16">
                    <c:v>Himachal Pradesh</c:v>
                  </c:pt>
                  <c:pt idx="17">
                    <c:v>Jammu Kashmir</c:v>
                  </c:pt>
                  <c:pt idx="18">
                    <c:v>Punjab</c:v>
                  </c:pt>
                  <c:pt idx="19">
                    <c:v>Rajasthan</c:v>
                  </c:pt>
                  <c:pt idx="20">
                    <c:v>Uttar Pradesh</c:v>
                  </c:pt>
                  <c:pt idx="21">
                    <c:v>Uttarakhand</c:v>
                  </c:pt>
                  <c:pt idx="22">
                    <c:v>Andhra Pradesh</c:v>
                  </c:pt>
                  <c:pt idx="23">
                    <c:v>Karnataka</c:v>
                  </c:pt>
                  <c:pt idx="24">
                    <c:v>Kerala</c:v>
                  </c:pt>
                  <c:pt idx="25">
                    <c:v>Tamil Nadu</c:v>
                  </c:pt>
                  <c:pt idx="26">
                    <c:v>Telangana</c:v>
                  </c:pt>
                  <c:pt idx="27">
                    <c:v>Goa</c:v>
                  </c:pt>
                  <c:pt idx="28">
                    <c:v>Gujarat</c:v>
                  </c:pt>
                  <c:pt idx="29">
                    <c:v>Maharashtra</c:v>
                  </c:pt>
                </c:lvl>
                <c:lvl>
                  <c:pt idx="0">
                    <c:v>Central India</c:v>
                  </c:pt>
                  <c:pt idx="2">
                    <c:v>East India</c:v>
                  </c:pt>
                  <c:pt idx="6">
                    <c:v>North East India</c:v>
                  </c:pt>
                  <c:pt idx="14">
                    <c:v>North India</c:v>
                  </c:pt>
                  <c:pt idx="22">
                    <c:v>South India</c:v>
                  </c:pt>
                  <c:pt idx="27">
                    <c:v>West India</c:v>
                  </c:pt>
                </c:lvl>
              </c:multiLvlStrCache>
            </c:multiLvlStrRef>
          </c:cat>
          <c:val>
            <c:numRef>
              <c:f>Sheet2!$N$6:$N$42</c:f>
              <c:numCache>
                <c:formatCode>General</c:formatCode>
                <c:ptCount val="30"/>
                <c:pt idx="0">
                  <c:v>1567</c:v>
                </c:pt>
                <c:pt idx="1">
                  <c:v>15911</c:v>
                </c:pt>
                <c:pt idx="2">
                  <c:v>9818</c:v>
                </c:pt>
                <c:pt idx="3">
                  <c:v>2183</c:v>
                </c:pt>
                <c:pt idx="4">
                  <c:v>2311</c:v>
                </c:pt>
                <c:pt idx="5">
                  <c:v>7498</c:v>
                </c:pt>
                <c:pt idx="6">
                  <c:v>55</c:v>
                </c:pt>
                <c:pt idx="7">
                  <c:v>882</c:v>
                </c:pt>
                <c:pt idx="8">
                  <c:v>86</c:v>
                </c:pt>
                <c:pt idx="9">
                  <c:v>87</c:v>
                </c:pt>
                <c:pt idx="10">
                  <c:v>26</c:v>
                </c:pt>
                <c:pt idx="11">
                  <c:v>73</c:v>
                </c:pt>
                <c:pt idx="12">
                  <c:v>31</c:v>
                </c:pt>
                <c:pt idx="13">
                  <c:v>248</c:v>
                </c:pt>
                <c:pt idx="14">
                  <c:v>665</c:v>
                </c:pt>
                <c:pt idx="15">
                  <c:v>10726</c:v>
                </c:pt>
                <c:pt idx="16">
                  <c:v>1460</c:v>
                </c:pt>
                <c:pt idx="17">
                  <c:v>2540</c:v>
                </c:pt>
                <c:pt idx="18">
                  <c:v>8762</c:v>
                </c:pt>
                <c:pt idx="19">
                  <c:v>6488</c:v>
                </c:pt>
                <c:pt idx="20">
                  <c:v>23146</c:v>
                </c:pt>
                <c:pt idx="21">
                  <c:v>1725</c:v>
                </c:pt>
                <c:pt idx="22">
                  <c:v>15044</c:v>
                </c:pt>
                <c:pt idx="23">
                  <c:v>7901</c:v>
                </c:pt>
                <c:pt idx="24">
                  <c:v>2548</c:v>
                </c:pt>
                <c:pt idx="25">
                  <c:v>7190</c:v>
                </c:pt>
                <c:pt idx="26">
                  <c:v>8592</c:v>
                </c:pt>
                <c:pt idx="27">
                  <c:v>57</c:v>
                </c:pt>
                <c:pt idx="28">
                  <c:v>14493</c:v>
                </c:pt>
                <c:pt idx="29">
                  <c:v>11655</c:v>
                </c:pt>
              </c:numCache>
            </c:numRef>
          </c:val>
          <c:extLst xmlns:c16r2="http://schemas.microsoft.com/office/drawing/2015/06/chart">
            <c:ext xmlns:c16="http://schemas.microsoft.com/office/drawing/2014/chart" uri="{C3380CC4-5D6E-409C-BE32-E72D297353CC}">
              <c16:uniqueId val="{00000000-CB80-4963-B9C2-F54B53EB3F98}"/>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506468395812397"/>
          <c:y val="0.23349783506361071"/>
          <c:w val="0.32996705379517383"/>
          <c:h val="0.71124195462828288"/>
        </c:manualLayout>
      </c:layout>
      <c:overlay val="0"/>
      <c:txPr>
        <a:bodyPr/>
        <a:lstStyle/>
        <a:p>
          <a:pPr>
            <a:defRPr sz="1050" b="1">
              <a:solidFill>
                <a:schemeClr val="accent6">
                  <a:lumMod val="50000"/>
                </a:schemeClr>
              </a:solidFill>
            </a:defRPr>
          </a:pPr>
          <a:endParaRPr lang="en-US"/>
        </a:p>
      </c:txPr>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jpe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146602</xdr:colOff>
      <xdr:row>4</xdr:row>
      <xdr:rowOff>152400</xdr:rowOff>
    </xdr:from>
    <xdr:to>
      <xdr:col>12</xdr:col>
      <xdr:colOff>463550</xdr:colOff>
      <xdr:row>17</xdr:row>
      <xdr:rowOff>6350</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120650</xdr:colOff>
      <xdr:row>23</xdr:row>
      <xdr:rowOff>165100</xdr:rowOff>
    </xdr:from>
    <xdr:to>
      <xdr:col>17</xdr:col>
      <xdr:colOff>19051</xdr:colOff>
      <xdr:row>42</xdr:row>
      <xdr:rowOff>25400</xdr:rowOff>
    </xdr:to>
    <xdr:graphicFrame macro="">
      <xdr:nvGraphicFramePr>
        <xdr:cNvPr id="3" name="Chart 2">
          <a:extLst>
            <a:ext uri="{FF2B5EF4-FFF2-40B4-BE49-F238E27FC236}">
              <a16:creationId xmlns:a16="http://schemas.microsoft.com/office/drawing/2014/main" xmlns="" id="{00000000-0008-0000-0200-000003000000}"/>
            </a:ext>
            <a:ext uri="{147F2762-F138-4A5C-976F-8EAC2B608ADB}">
              <a16:predDERef xmlns:a16="http://schemas.microsoft.com/office/drawing/2014/main" xmlns=""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xdr:colOff>
      <xdr:row>23</xdr:row>
      <xdr:rowOff>158750</xdr:rowOff>
    </xdr:from>
    <xdr:to>
      <xdr:col>9</xdr:col>
      <xdr:colOff>0</xdr:colOff>
      <xdr:row>42</xdr:row>
      <xdr:rowOff>38100</xdr:rowOff>
    </xdr:to>
    <xdr:graphicFrame macro="">
      <xdr:nvGraphicFramePr>
        <xdr:cNvPr id="6" name="Chart 5">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17</xdr:row>
      <xdr:rowOff>82551</xdr:rowOff>
    </xdr:from>
    <xdr:to>
      <xdr:col>17</xdr:col>
      <xdr:colOff>12700</xdr:colOff>
      <xdr:row>21</xdr:row>
      <xdr:rowOff>146051</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xmlns=""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1833" y="3109384"/>
              <a:ext cx="8426450" cy="825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44452</xdr:colOff>
      <xdr:row>5</xdr:row>
      <xdr:rowOff>38782</xdr:rowOff>
    </xdr:from>
    <xdr:to>
      <xdr:col>2</xdr:col>
      <xdr:colOff>317500</xdr:colOff>
      <xdr:row>6</xdr:row>
      <xdr:rowOff>134030</xdr:rowOff>
    </xdr:to>
    <xdr:pic>
      <xdr:nvPicPr>
        <xdr:cNvPr id="12" name="Picture 11">
          <a:extLst>
            <a:ext uri="{FF2B5EF4-FFF2-40B4-BE49-F238E27FC236}">
              <a16:creationId xmlns:a16="http://schemas.microsoft.com/office/drawing/2014/main" xmlns="" id="{00000000-0008-0000-0200-00000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62052" y="870632"/>
          <a:ext cx="273048" cy="273048"/>
        </a:xfrm>
        <a:prstGeom prst="rect">
          <a:avLst/>
        </a:prstGeom>
      </xdr:spPr>
    </xdr:pic>
    <xdr:clientData/>
  </xdr:twoCellAnchor>
  <xdr:twoCellAnchor editAs="oneCell">
    <xdr:from>
      <xdr:col>3</xdr:col>
      <xdr:colOff>165100</xdr:colOff>
      <xdr:row>1</xdr:row>
      <xdr:rowOff>58251</xdr:rowOff>
    </xdr:from>
    <xdr:to>
      <xdr:col>4</xdr:col>
      <xdr:colOff>450850</xdr:colOff>
      <xdr:row>3</xdr:row>
      <xdr:rowOff>105029</xdr:rowOff>
    </xdr:to>
    <xdr:pic>
      <xdr:nvPicPr>
        <xdr:cNvPr id="13" name="Picture 12">
          <a:extLst>
            <a:ext uri="{FF2B5EF4-FFF2-40B4-BE49-F238E27FC236}">
              <a16:creationId xmlns:a16="http://schemas.microsoft.com/office/drawing/2014/main" xmlns="" id="{00000000-0008-0000-0200-00000D000000}"/>
            </a:ext>
            <a:ext uri="{147F2762-F138-4A5C-976F-8EAC2B608ADB}">
              <a16:predDERef xmlns:a16="http://schemas.microsoft.com/office/drawing/2014/main" xmlns="" pred="{00000000-0008-0000-02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65300" y="220176"/>
          <a:ext cx="819150" cy="370628"/>
        </a:xfrm>
        <a:prstGeom prst="rect">
          <a:avLst/>
        </a:prstGeom>
      </xdr:spPr>
    </xdr:pic>
    <xdr:clientData/>
  </xdr:twoCellAnchor>
  <xdr:twoCellAnchor editAs="oneCell">
    <xdr:from>
      <xdr:col>0</xdr:col>
      <xdr:colOff>0</xdr:colOff>
      <xdr:row>23</xdr:row>
      <xdr:rowOff>154214</xdr:rowOff>
    </xdr:from>
    <xdr:to>
      <xdr:col>1</xdr:col>
      <xdr:colOff>517071</xdr:colOff>
      <xdr:row>42</xdr:row>
      <xdr:rowOff>36286</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xmlns="" id="{00000000-0008-0000-0200-00000F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366381"/>
              <a:ext cx="1077988" cy="309940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56241</xdr:colOff>
      <xdr:row>23</xdr:row>
      <xdr:rowOff>168726</xdr:rowOff>
    </xdr:from>
    <xdr:to>
      <xdr:col>20</xdr:col>
      <xdr:colOff>353</xdr:colOff>
      <xdr:row>42</xdr:row>
      <xdr:rowOff>28222</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xmlns="" id="{00000000-0008-0000-0200-000010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591824" y="4380893"/>
              <a:ext cx="1608871" cy="307682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4</xdr:row>
      <xdr:rowOff>27214</xdr:rowOff>
    </xdr:from>
    <xdr:to>
      <xdr:col>1</xdr:col>
      <xdr:colOff>529045</xdr:colOff>
      <xdr:row>14</xdr:row>
      <xdr:rowOff>131535</xdr:rowOff>
    </xdr:to>
    <xdr:pic>
      <xdr:nvPicPr>
        <xdr:cNvPr id="17" name="Picture 16">
          <a:extLst>
            <a:ext uri="{FF2B5EF4-FFF2-40B4-BE49-F238E27FC236}">
              <a16:creationId xmlns:a16="http://schemas.microsoft.com/office/drawing/2014/main" xmlns="" id="{00000000-0008-0000-0200-00001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8857" y="680357"/>
          <a:ext cx="992142" cy="19186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1022350</xdr:colOff>
          <xdr:row>0</xdr:row>
          <xdr:rowOff>0</xdr:rowOff>
        </xdr:from>
        <xdr:to>
          <xdr:col>16</xdr:col>
          <xdr:colOff>190500</xdr:colOff>
          <xdr:row>1</xdr:row>
          <xdr:rowOff>0</xdr:rowOff>
        </xdr:to>
        <xdr:sp macro="" textlink="">
          <xdr:nvSpPr>
            <xdr:cNvPr id="1039" name="Check Box 15" hidden="1">
              <a:extLst>
                <a:ext uri="{63B3BB69-23CF-44E3-9099-C40C66FF867C}">
                  <a14:compatExt spid="_x0000_s10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1022350</xdr:colOff>
          <xdr:row>0</xdr:row>
          <xdr:rowOff>158750</xdr:rowOff>
        </xdr:from>
        <xdr:to>
          <xdr:col>16</xdr:col>
          <xdr:colOff>184150</xdr:colOff>
          <xdr:row>1</xdr:row>
          <xdr:rowOff>158750</xdr:rowOff>
        </xdr:to>
        <xdr:sp macro="" textlink="">
          <xdr:nvSpPr>
            <xdr:cNvPr id="1046" name="Check Box 22" hidden="1">
              <a:extLst>
                <a:ext uri="{63B3BB69-23CF-44E3-9099-C40C66FF867C}">
                  <a14:compatExt spid="_x0000_s10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2</xdr:row>
          <xdr:rowOff>12700</xdr:rowOff>
        </xdr:from>
        <xdr:to>
          <xdr:col>16</xdr:col>
          <xdr:colOff>190500</xdr:colOff>
          <xdr:row>3</xdr:row>
          <xdr:rowOff>12700</xdr:rowOff>
        </xdr:to>
        <xdr:sp macro="" textlink="">
          <xdr:nvSpPr>
            <xdr:cNvPr id="1047" name="Check Box 23" hidden="1">
              <a:extLst>
                <a:ext uri="{63B3BB69-23CF-44E3-9099-C40C66FF867C}">
                  <a14:compatExt spid="_x0000_s10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3</xdr:row>
          <xdr:rowOff>12700</xdr:rowOff>
        </xdr:from>
        <xdr:to>
          <xdr:col>16</xdr:col>
          <xdr:colOff>190500</xdr:colOff>
          <xdr:row>4</xdr:row>
          <xdr:rowOff>0</xdr:rowOff>
        </xdr:to>
        <xdr:sp macro="" textlink="">
          <xdr:nvSpPr>
            <xdr:cNvPr id="1048" name="Check Box 24" hidden="1">
              <a:extLst>
                <a:ext uri="{63B3BB69-23CF-44E3-9099-C40C66FF867C}">
                  <a14:compatExt spid="_x0000_s10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1022350</xdr:colOff>
          <xdr:row>4</xdr:row>
          <xdr:rowOff>6350</xdr:rowOff>
        </xdr:from>
        <xdr:to>
          <xdr:col>16</xdr:col>
          <xdr:colOff>190500</xdr:colOff>
          <xdr:row>5</xdr:row>
          <xdr:rowOff>6350</xdr:rowOff>
        </xdr:to>
        <xdr:sp macro="" textlink="">
          <xdr:nvSpPr>
            <xdr:cNvPr id="1049" name="Check Box 25" hidden="1">
              <a:extLst>
                <a:ext uri="{63B3BB69-23CF-44E3-9099-C40C66FF867C}">
                  <a14:compatExt spid="_x0000_s1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4</xdr:row>
          <xdr:rowOff>158750</xdr:rowOff>
        </xdr:from>
        <xdr:to>
          <xdr:col>16</xdr:col>
          <xdr:colOff>190500</xdr:colOff>
          <xdr:row>5</xdr:row>
          <xdr:rowOff>158750</xdr:rowOff>
        </xdr:to>
        <xdr:sp macro="" textlink="">
          <xdr:nvSpPr>
            <xdr:cNvPr id="1050" name="Check Box 26" hidden="1">
              <a:extLst>
                <a:ext uri="{63B3BB69-23CF-44E3-9099-C40C66FF867C}">
                  <a14:compatExt spid="_x0000_s1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1022350</xdr:colOff>
          <xdr:row>5</xdr:row>
          <xdr:rowOff>158750</xdr:rowOff>
        </xdr:from>
        <xdr:to>
          <xdr:col>16</xdr:col>
          <xdr:colOff>190500</xdr:colOff>
          <xdr:row>6</xdr:row>
          <xdr:rowOff>158750</xdr:rowOff>
        </xdr:to>
        <xdr:sp macro="" textlink="">
          <xdr:nvSpPr>
            <xdr:cNvPr id="1051" name="Check Box 27" hidden="1">
              <a:extLst>
                <a:ext uri="{63B3BB69-23CF-44E3-9099-C40C66FF867C}">
                  <a14:compatExt spid="_x0000_s1051"/>
                </a:ext>
              </a:extLst>
            </xdr:cNvPr>
            <xdr:cNvSpPr/>
          </xdr:nvSpPr>
          <xdr:spPr>
            <a:xfrm>
              <a:off x="0" y="0"/>
              <a:ext cx="0" cy="0"/>
            </a:xfrm>
            <a:prstGeom prst="rect">
              <a:avLst/>
            </a:prstGeom>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184.331451041668" createdVersion="4" refreshedVersion="4" minRefreshableVersion="3" recordCount="38">
  <cacheSource type="worksheet">
    <worksheetSource ref="A1:AA39" sheet="Sheet1"/>
  </cacheSource>
  <cacheFields count="27">
    <cacheField name="State" numFmtId="0">
      <sharedItems count="38">
        <s v="Andhra Pradesh"/>
        <s v="Arunachal Pradesh"/>
        <s v="Assam"/>
        <s v="Bihar"/>
        <s v="Chhattisgarh"/>
        <s v="Goa"/>
        <s v="Gujarat"/>
        <s v="Haryana"/>
        <s v="Himachal Pradesh"/>
        <s v="J &amp; K"/>
        <s v="Jharkhand"/>
        <s v="Karnataka"/>
        <s v="Kerala"/>
        <s v="Madhya Pradesh"/>
        <s v="Maharashtra"/>
        <s v="Manipur"/>
        <s v="Meghalaya"/>
        <s v="Mizoram"/>
        <s v="Nagaland"/>
        <s v="Odisha"/>
        <s v="Punjab"/>
        <s v="Rajasthan"/>
        <s v="Sikkim"/>
        <s v="Tamil Nadu"/>
        <s v="Telangana"/>
        <s v="Tripura"/>
        <s v="Uttar Pradesh"/>
        <s v="Uttarakhand"/>
        <s v="West Bengal"/>
        <s v="A&amp;N Islands"/>
        <s v="Chandigarh"/>
        <s v="Ladakh"/>
        <s v="D&amp;N Haveli"/>
        <s v="Daman &amp; Diu"/>
        <s v="Delhi"/>
        <s v="Lakshadweep"/>
        <s v="Puducherry"/>
        <s v="All India"/>
      </sharedItems>
    </cacheField>
    <cacheField name="2001-_x000a_02" numFmtId="0">
      <sharedItems containsSemiMixedTypes="0" containsString="0" containsNumber="1" containsInteger="1" minValue="0" maxValue="84406" count="36">
        <n v="5814"/>
        <n v="42"/>
        <n v="682"/>
        <n v="2664"/>
        <n v="795"/>
        <n v="45"/>
        <n v="5862"/>
        <n v="4978"/>
        <n v="756"/>
        <n v="1360"/>
        <n v="940"/>
        <n v="4797"/>
        <n v="2718"/>
        <n v="5283"/>
        <n v="6094"/>
        <n v="68"/>
        <n v="66"/>
        <n v="14"/>
        <n v="57"/>
        <n v="929"/>
        <n v="7932"/>
        <n v="7758"/>
        <n v="37"/>
        <n v="4988"/>
        <n v="0"/>
        <n v="90"/>
        <n v="14648"/>
        <n v="1066"/>
        <n v="3515"/>
        <n v="23"/>
        <n v="43"/>
        <n v="8"/>
        <n v="1"/>
        <n v="294"/>
        <n v="2"/>
        <n v="84406"/>
      </sharedItems>
    </cacheField>
    <cacheField name="2002-_x000a_03" numFmtId="0">
      <sharedItems containsSemiMixedTypes="0" containsString="0" containsNumber="1" containsInteger="1" minValue="0" maxValue="86159"/>
    </cacheField>
    <cacheField name="2003-_x000a_04" numFmtId="0">
      <sharedItems containsSemiMixedTypes="0" containsString="0" containsNumber="1" containsInteger="1" minValue="0" maxValue="88082"/>
    </cacheField>
    <cacheField name="2004-_x000a_05" numFmtId="0">
      <sharedItems containsSemiMixedTypes="0" containsString="0" containsNumber="1" containsInteger="1" minValue="0" maxValue="92484"/>
    </cacheField>
    <cacheField name="2005-_x000a_06" numFmtId="0">
      <sharedItems containsSemiMixedTypes="0" containsString="0" containsNumber="1" containsInteger="1" minValue="0" maxValue="97066"/>
    </cacheField>
    <cacheField name="2006-_x000a_07" numFmtId="0">
      <sharedItems containsSemiMixedTypes="0" containsString="0" containsNumber="1" containsInteger="1" minValue="0" maxValue="102580"/>
    </cacheField>
    <cacheField name="2007-_x000a_08" numFmtId="0">
      <sharedItems containsSemiMixedTypes="0" containsString="0" containsNumber="1" containsInteger="1" minValue="0" maxValue="107934" count="37">
        <n v="8925"/>
        <n v="32"/>
        <n v="752"/>
        <n v="5783"/>
        <n v="866"/>
        <n v="58"/>
        <n v="7911"/>
        <n v="5442"/>
        <n v="1007"/>
        <n v="1519"/>
        <n v="1442"/>
        <n v="4244"/>
        <n v="2253"/>
        <n v="6572"/>
        <n v="7210"/>
        <n v="78"/>
        <n v="77"/>
        <n v="17"/>
        <n v="45"/>
        <n v="1625"/>
        <n v="9282"/>
        <n v="11377"/>
        <n v="42"/>
        <n v="6540"/>
        <n v="0"/>
        <n v="91"/>
        <n v="18861"/>
        <n v="1221"/>
        <n v="4087"/>
        <n v="24"/>
        <n v="47"/>
        <n v="10"/>
        <n v="1"/>
        <n v="445"/>
        <n v="2"/>
        <n v="46"/>
        <n v="107934"/>
      </sharedItems>
    </cacheField>
    <cacheField name="2008-_x000a_09" numFmtId="0">
      <sharedItems containsSemiMixedTypes="0" containsString="0" containsNumber="1" containsInteger="1" minValue="0" maxValue="112183"/>
    </cacheField>
    <cacheField name="2009-_x000a_10" numFmtId="0">
      <sharedItems containsSemiMixedTypes="0" containsString="0" containsNumber="1" containsInteger="1" minValue="0" maxValue="116425"/>
    </cacheField>
    <cacheField name="2010-_x000a_11" numFmtId="0">
      <sharedItems containsSemiMixedTypes="0" containsString="0" containsNumber="1" containsInteger="1" minValue="0" maxValue="121848"/>
    </cacheField>
    <cacheField name="2011-_x000a_12" numFmtId="0">
      <sharedItems containsSemiMixedTypes="0" containsString="0" containsNumber="1" containsInteger="1" minValue="0" maxValue="127904"/>
    </cacheField>
    <cacheField name="2012-_x000a_13" numFmtId="0">
      <sharedItems containsSemiMixedTypes="0" containsString="0" containsNumber="1" containsInteger="1" minValue="0" maxValue="132431"/>
    </cacheField>
    <cacheField name="2013-_x000a_14" numFmtId="0">
      <sharedItems containsSemiMixedTypes="0" containsString="0" containsNumber="1" containsInteger="1" minValue="0" maxValue="137685"/>
    </cacheField>
    <cacheField name="2014-_x000a_15" numFmtId="0">
      <sharedItems containsSemiMixedTypes="0" containsString="0" containsNumber="1" containsInteger="1" minValue="0" maxValue="146314"/>
    </cacheField>
    <cacheField name="2015-_x000a_16" numFmtId="0">
      <sharedItems containsSemiMixedTypes="0" containsString="0" containsNumber="1" containsInteger="1" minValue="0" maxValue="155491"/>
    </cacheField>
    <cacheField name="2016-_x000a_17" numFmtId="0">
      <sharedItems containsSemiMixedTypes="0" containsString="0" containsNumber="1" containsInteger="1" minValue="0" maxValue="165404"/>
    </cacheField>
    <cacheField name="2017-18" numFmtId="0">
      <sharedItems containsSemiMixedTypes="0" containsString="0" containsNumber="1" containsInteger="1" minValue="0" maxValue="176347"/>
    </cacheField>
    <cacheField name="2018-19" numFmtId="0">
      <sharedItems containsSemiMixedTypes="0" containsString="0" containsNumber="1" containsInteger="1" minValue="0" maxValue="187749"/>
    </cacheField>
    <cacheField name="2019-20" numFmtId="0">
      <sharedItems containsSemiMixedTypes="0" containsString="0" containsNumber="1" containsInteger="1" minValue="0" maxValue="198440"/>
    </cacheField>
    <cacheField name="2020-21" numFmtId="0">
      <sharedItems containsSemiMixedTypes="0" containsString="0" containsNumber="1" containsInteger="1" minValue="0" maxValue="209960"/>
    </cacheField>
    <cacheField name="2021-22" numFmtId="0">
      <sharedItems containsSemiMixedTypes="0" containsString="0" containsNumber="1" minValue="0" maxValue="222069"/>
    </cacheField>
    <cacheField name="2022-_x000a_23" numFmtId="0">
      <sharedItems containsSemiMixedTypes="0" containsString="0" containsNumber="1" minValue="0" maxValue="230577"/>
    </cacheField>
    <cacheField name="2023-_x000a_24" numFmtId="0">
      <sharedItems containsMixedTypes="1" containsNumber="1" minValue="0" maxValue="239299" count="38">
        <n v="13994"/>
        <n v="20"/>
        <n v="1092"/>
        <n v="12853"/>
        <n v="2124"/>
        <n v="64"/>
        <n v="18312"/>
        <n v="12220"/>
        <n v="1749"/>
        <n v="2875"/>
        <n v="3025"/>
        <n v="13463"/>
        <n v="2580"/>
        <n v="21326"/>
        <n v="16045"/>
        <n v="63"/>
        <n v="97"/>
        <n v="25"/>
        <n v="53"/>
        <n v="2636"/>
        <n v="14000"/>
        <n v="34733"/>
        <n v="81"/>
        <n v="10808"/>
        <n v="5840"/>
        <n v="247"/>
        <n v="38780"/>
        <n v="1898"/>
        <n v="7650"/>
        <n v="18"/>
        <s v="58.87_x000a_"/>
        <n v="29.31"/>
        <n v="2"/>
        <n v="0"/>
        <n v="488"/>
        <n v="0.39"/>
        <n v="50"/>
        <n v="239299"/>
      </sharedItems>
    </cacheField>
    <cacheField name="Total" numFmtId="0">
      <sharedItems containsSemiMixedTypes="0" containsString="0" containsNumber="1" minValue="14" maxValue="3338837"/>
    </cacheField>
    <cacheField name="Region" numFmtId="0">
      <sharedItems containsBlank="1" count="8">
        <s v="South India"/>
        <s v="North-East India"/>
        <s v="East India"/>
        <s v="Central India"/>
        <s v="West India"/>
        <s v="North India"/>
        <s v="Island Territories"/>
        <m/>
      </sharedItems>
    </cacheField>
    <cacheField name="Total Increase" numFmtId="164">
      <sharedItems containsSemiMixedTypes="0" containsString="0" containsNumber="1" minValue="0" maxValue="3.8246996996996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184.575940162038" createdVersion="4" refreshedVersion="4" minRefreshableVersion="3" recordCount="688">
  <cacheSource type="worksheet">
    <worksheetSource ref="A1:D689" sheet="Sheet6"/>
  </cacheSource>
  <cacheFields count="4">
    <cacheField name="Year" numFmtId="0">
      <sharedItems count="23">
        <s v="2001-02"/>
        <s v="2002-03"/>
        <s v="2003-04"/>
        <s v="2004-05"/>
        <s v="2005-06"/>
        <s v="2006-07"/>
        <s v="2007-08"/>
        <s v="2008-09"/>
        <s v="2009-10"/>
        <s v="2010-11"/>
        <s v="2011-12"/>
        <s v="2012-13"/>
        <s v="2013-14"/>
        <s v="2014-15"/>
        <s v="2015-16"/>
        <s v="2016-17"/>
        <s v="2017-18"/>
        <s v="2018-19"/>
        <s v="2019-20"/>
        <s v="2020-21"/>
        <s v="2021-22"/>
        <s v="2022-23"/>
        <s v="2023-24"/>
      </sharedItems>
    </cacheField>
    <cacheField name="State" numFmtId="0">
      <sharedItems count="30">
        <s v="Andhra Pradesh"/>
        <s v="Arunanchal Pradesh"/>
        <s v="Assam"/>
        <s v="Bihar"/>
        <s v="Chhattisgarh"/>
        <s v="Goa"/>
        <s v="Gujarat"/>
        <s v="Haryana"/>
        <s v="Himachal Pradesh"/>
        <s v="Jammu Kashmir"/>
        <s v="Jharkhand"/>
        <s v="Karnataka"/>
        <s v="Kerala"/>
        <s v="Madhya Pradesh"/>
        <s v="Maharashtra"/>
        <s v="Manipur"/>
        <s v="Meghalaya"/>
        <s v="Mizoram"/>
        <s v="Nagaland"/>
        <s v="Odisha"/>
        <s v="Punjab"/>
        <s v="Rajasthan"/>
        <s v="Sikkim"/>
        <s v="Tamil Nadu"/>
        <s v="Telangana"/>
        <s v="Tripura"/>
        <s v="Uttar Pradesh"/>
        <s v="Uttarakhand"/>
        <s v="West Bengal"/>
        <s v="Delhi"/>
      </sharedItems>
    </cacheField>
    <cacheField name="Region" numFmtId="0">
      <sharedItems count="6">
        <s v="South India"/>
        <s v="North East India"/>
        <s v="East India"/>
        <s v="Central India"/>
        <s v="West India"/>
        <s v="North India"/>
      </sharedItems>
    </cacheField>
    <cacheField name="Milk" numFmtId="0">
      <sharedItems containsSemiMixedTypes="0" containsString="0" containsNumber="1" minValue="11" maxValue="2561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8">
  <r>
    <x v="0"/>
    <x v="0"/>
    <n v="6584"/>
    <n v="6959"/>
    <n v="7257"/>
    <n v="7624"/>
    <n v="7938"/>
    <x v="0"/>
    <n v="9570"/>
    <n v="10429"/>
    <n v="11203"/>
    <n v="12088"/>
    <n v="12762"/>
    <n v="13007"/>
    <n v="9656"/>
    <n v="10817"/>
    <n v="12178"/>
    <n v="13725"/>
    <n v="15044"/>
    <n v="15263"/>
    <n v="14714"/>
    <n v="15403"/>
    <n v="15448"/>
    <x v="0"/>
    <n v="256402"/>
    <x v="0"/>
    <n v="1.6570347437220503"/>
  </r>
  <r>
    <x v="1"/>
    <x v="1"/>
    <n v="46"/>
    <n v="46"/>
    <n v="48"/>
    <n v="48"/>
    <n v="49"/>
    <x v="1"/>
    <n v="24"/>
    <n v="26"/>
    <n v="28"/>
    <n v="22"/>
    <n v="23"/>
    <n v="43"/>
    <n v="46"/>
    <n v="50"/>
    <n v="53"/>
    <n v="54"/>
    <n v="55"/>
    <n v="61"/>
    <n v="44"/>
    <n v="46"/>
    <n v="46"/>
    <x v="1"/>
    <n v="952"/>
    <x v="1"/>
    <n v="0.45238095238095238"/>
  </r>
  <r>
    <x v="2"/>
    <x v="2"/>
    <n v="705"/>
    <n v="727"/>
    <n v="739"/>
    <n v="747"/>
    <n v="750"/>
    <x v="2"/>
    <n v="753"/>
    <n v="756"/>
    <n v="790"/>
    <n v="796"/>
    <n v="800"/>
    <n v="815"/>
    <n v="829"/>
    <n v="843"/>
    <n v="861"/>
    <n v="872"/>
    <n v="882"/>
    <n v="920"/>
    <n v="954"/>
    <n v="982"/>
    <n v="1006"/>
    <x v="2"/>
    <n v="19053"/>
    <x v="1"/>
    <n v="0.60117302052785926"/>
  </r>
  <r>
    <x v="3"/>
    <x v="3"/>
    <n v="2869"/>
    <n v="3180"/>
    <n v="4743"/>
    <n v="5060"/>
    <n v="5451"/>
    <x v="3"/>
    <n v="5934"/>
    <n v="6124"/>
    <n v="6517"/>
    <n v="6643"/>
    <n v="6845"/>
    <n v="7197"/>
    <n v="7775"/>
    <n v="8288"/>
    <n v="8711"/>
    <n v="9242"/>
    <n v="9818"/>
    <n v="10480"/>
    <n v="11502"/>
    <n v="12253"/>
    <n v="12503"/>
    <x v="3"/>
    <n v="172435"/>
    <x v="2"/>
    <n v="3.8246996996996998"/>
  </r>
  <r>
    <x v="4"/>
    <x v="4"/>
    <n v="804"/>
    <n v="812"/>
    <n v="831"/>
    <n v="839"/>
    <n v="849"/>
    <x v="4"/>
    <n v="908"/>
    <n v="956"/>
    <n v="1029"/>
    <n v="1119"/>
    <n v="1164"/>
    <n v="1209"/>
    <n v="1232"/>
    <n v="1277"/>
    <n v="1374"/>
    <n v="1469"/>
    <n v="1567"/>
    <n v="1676"/>
    <n v="1747"/>
    <n v="1848"/>
    <n v="1956"/>
    <x v="4"/>
    <n v="28451"/>
    <x v="3"/>
    <n v="1.6716981132075472"/>
  </r>
  <r>
    <x v="5"/>
    <x v="5"/>
    <n v="46"/>
    <n v="48"/>
    <n v="57"/>
    <n v="56"/>
    <n v="57"/>
    <x v="5"/>
    <n v="59"/>
    <n v="59"/>
    <n v="60"/>
    <n v="60"/>
    <n v="61"/>
    <n v="68"/>
    <n v="67"/>
    <n v="54"/>
    <n v="51"/>
    <n v="55"/>
    <n v="57"/>
    <n v="61"/>
    <n v="60"/>
    <n v="63"/>
    <n v="64"/>
    <x v="5"/>
    <n v="1330"/>
    <x v="4"/>
    <n v="0.51111111111111107"/>
  </r>
  <r>
    <x v="6"/>
    <x v="6"/>
    <n v="6089"/>
    <n v="6421"/>
    <n v="6745"/>
    <n v="6960"/>
    <n v="7533"/>
    <x v="6"/>
    <n v="8386"/>
    <n v="8844"/>
    <n v="9321"/>
    <n v="9817"/>
    <n v="10315"/>
    <n v="11112"/>
    <n v="11691"/>
    <n v="12262"/>
    <n v="12784"/>
    <n v="13569"/>
    <n v="14493"/>
    <n v="15292"/>
    <n v="15853"/>
    <n v="16722"/>
    <n v="17281"/>
    <x v="6"/>
    <n v="253575"/>
    <x v="4"/>
    <n v="2.1238485158648923"/>
  </r>
  <r>
    <x v="7"/>
    <x v="7"/>
    <n v="5124"/>
    <n v="5221"/>
    <n v="5222"/>
    <n v="5299"/>
    <n v="5366"/>
    <x v="7"/>
    <n v="5745"/>
    <n v="6006"/>
    <n v="6267"/>
    <n v="6661"/>
    <n v="7040"/>
    <n v="7442"/>
    <n v="7901"/>
    <n v="8381"/>
    <n v="8975"/>
    <n v="9809"/>
    <n v="10726"/>
    <n v="11735"/>
    <n v="11284"/>
    <n v="11630"/>
    <n v="11966"/>
    <x v="7"/>
    <n v="180440"/>
    <x v="5"/>
    <n v="1.454801124949779"/>
  </r>
  <r>
    <x v="8"/>
    <x v="8"/>
    <n v="773"/>
    <n v="786"/>
    <n v="870"/>
    <n v="869"/>
    <n v="933"/>
    <x v="8"/>
    <n v="1026"/>
    <n v="971"/>
    <n v="1102"/>
    <n v="1120"/>
    <n v="1139"/>
    <n v="1151"/>
    <n v="1172"/>
    <n v="1283"/>
    <n v="1329"/>
    <n v="1392"/>
    <n v="1460"/>
    <n v="1531"/>
    <n v="1576"/>
    <n v="1615"/>
    <n v="1617"/>
    <x v="8"/>
    <n v="27227"/>
    <x v="5"/>
    <n v="1.3134920634920635"/>
  </r>
  <r>
    <x v="9"/>
    <x v="9"/>
    <n v="1389"/>
    <n v="1414"/>
    <n v="1422"/>
    <n v="1400"/>
    <n v="1400"/>
    <x v="9"/>
    <n v="1565"/>
    <n v="1592"/>
    <n v="1609"/>
    <n v="1614"/>
    <n v="1631"/>
    <n v="1615"/>
    <n v="1951"/>
    <n v="2273"/>
    <n v="2376"/>
    <n v="2460"/>
    <n v="2540"/>
    <n v="2506"/>
    <n v="2595"/>
    <n v="2727"/>
    <n v="2817"/>
    <x v="9"/>
    <n v="44650"/>
    <x v="5"/>
    <n v="1.1139705882352942"/>
  </r>
  <r>
    <x v="10"/>
    <x v="10"/>
    <n v="952"/>
    <n v="954"/>
    <n v="1330"/>
    <n v="1335"/>
    <n v="1401"/>
    <x v="10"/>
    <n v="1466"/>
    <n v="1463"/>
    <n v="1555"/>
    <n v="1745"/>
    <n v="1679"/>
    <n v="1700"/>
    <n v="1734"/>
    <n v="1812"/>
    <n v="1894"/>
    <n v="2016"/>
    <n v="2183"/>
    <n v="2321"/>
    <n v="2434"/>
    <n v="2629"/>
    <n v="2774"/>
    <x v="10"/>
    <n v="40784"/>
    <x v="2"/>
    <n v="2.2180851063829787"/>
  </r>
  <r>
    <x v="11"/>
    <x v="11"/>
    <n v="4539"/>
    <n v="3857"/>
    <n v="3917"/>
    <n v="4022"/>
    <n v="4124"/>
    <x v="11"/>
    <n v="4538"/>
    <n v="4822"/>
    <n v="5114"/>
    <n v="5447"/>
    <n v="5718"/>
    <n v="5997"/>
    <n v="6121"/>
    <n v="6344"/>
    <n v="6562"/>
    <n v="7137"/>
    <n v="7901"/>
    <n v="9031"/>
    <n v="10936"/>
    <n v="11796"/>
    <n v="12829"/>
    <x v="11"/>
    <n v="153256"/>
    <x v="0"/>
    <n v="1.8065457577652699"/>
  </r>
  <r>
    <x v="12"/>
    <x v="12"/>
    <n v="2419"/>
    <n v="2111"/>
    <n v="2025"/>
    <n v="2063"/>
    <n v="2119"/>
    <x v="12"/>
    <n v="2441"/>
    <n v="2509"/>
    <n v="2645"/>
    <n v="2716"/>
    <n v="2791"/>
    <n v="2655"/>
    <n v="2711"/>
    <n v="2650"/>
    <n v="2520"/>
    <n v="2576"/>
    <n v="2548"/>
    <n v="2544"/>
    <n v="2534"/>
    <n v="2532"/>
    <n v="2580"/>
    <x v="12"/>
    <n v="57240"/>
    <x v="0"/>
    <n v="2.6857983811626195E-2"/>
  </r>
  <r>
    <x v="13"/>
    <x v="13"/>
    <n v="5343"/>
    <n v="5388"/>
    <n v="5506"/>
    <n v="6283"/>
    <n v="6374"/>
    <x v="13"/>
    <n v="6855"/>
    <n v="7167"/>
    <n v="7514"/>
    <n v="8149"/>
    <n v="8838"/>
    <n v="9599"/>
    <n v="10779"/>
    <n v="12148"/>
    <n v="13445"/>
    <n v="14713"/>
    <n v="15911"/>
    <n v="17109"/>
    <n v="17999"/>
    <n v="19004"/>
    <n v="20122"/>
    <x v="13"/>
    <n v="251427"/>
    <x v="3"/>
    <n v="3.0367215597198562"/>
  </r>
  <r>
    <x v="14"/>
    <x v="14"/>
    <n v="6238"/>
    <n v="6379"/>
    <n v="6567"/>
    <n v="6769"/>
    <n v="6978"/>
    <x v="14"/>
    <n v="7455"/>
    <n v="7679"/>
    <n v="8044"/>
    <n v="8469"/>
    <n v="8734"/>
    <n v="9089"/>
    <n v="9542"/>
    <n v="10153"/>
    <n v="10402"/>
    <n v="11102"/>
    <n v="11655"/>
    <n v="12024"/>
    <n v="13703"/>
    <n v="14305"/>
    <n v="15042"/>
    <x v="14"/>
    <n v="219678"/>
    <x v="4"/>
    <n v="1.6329176238923531"/>
  </r>
  <r>
    <x v="15"/>
    <x v="15"/>
    <n v="69"/>
    <n v="71"/>
    <n v="75"/>
    <n v="77"/>
    <n v="77"/>
    <x v="15"/>
    <n v="78"/>
    <n v="78"/>
    <n v="78"/>
    <n v="79"/>
    <n v="80"/>
    <n v="82"/>
    <n v="82"/>
    <n v="79"/>
    <n v="79"/>
    <n v="82"/>
    <n v="86"/>
    <n v="90"/>
    <n v="71"/>
    <n v="76"/>
    <n v="72"/>
    <x v="15"/>
    <n v="1770"/>
    <x v="1"/>
    <n v="0.3235294117647059"/>
  </r>
  <r>
    <x v="16"/>
    <x v="16"/>
    <n v="68"/>
    <n v="69"/>
    <n v="71"/>
    <n v="73"/>
    <n v="74"/>
    <x v="16"/>
    <n v="77"/>
    <n v="78"/>
    <n v="79"/>
    <n v="80"/>
    <n v="81"/>
    <n v="82"/>
    <n v="83"/>
    <n v="84"/>
    <n v="84"/>
    <n v="85"/>
    <n v="87"/>
    <n v="88"/>
    <n v="89"/>
    <n v="90"/>
    <n v="94"/>
    <x v="16"/>
    <n v="1856"/>
    <x v="1"/>
    <n v="0.46969696969696972"/>
  </r>
  <r>
    <x v="17"/>
    <x v="17"/>
    <n v="15"/>
    <n v="15"/>
    <n v="16"/>
    <n v="15"/>
    <n v="16"/>
    <x v="17"/>
    <n v="17"/>
    <n v="11"/>
    <n v="11"/>
    <n v="14"/>
    <n v="14"/>
    <n v="15"/>
    <n v="20"/>
    <n v="22"/>
    <n v="24"/>
    <n v="25"/>
    <n v="26"/>
    <n v="24"/>
    <n v="25"/>
    <n v="25"/>
    <n v="24"/>
    <x v="17"/>
    <n v="430"/>
    <x v="1"/>
    <n v="0.8571428571428571"/>
  </r>
  <r>
    <x v="18"/>
    <x v="18"/>
    <n v="58"/>
    <n v="63"/>
    <n v="69"/>
    <n v="74"/>
    <n v="67"/>
    <x v="18"/>
    <n v="53"/>
    <n v="78"/>
    <n v="76"/>
    <n v="78"/>
    <n v="79"/>
    <n v="81"/>
    <n v="76"/>
    <n v="77"/>
    <n v="79"/>
    <n v="74"/>
    <n v="73"/>
    <n v="62"/>
    <n v="56"/>
    <n v="61"/>
    <n v="50"/>
    <x v="18"/>
    <n v="1539"/>
    <x v="1"/>
    <n v="0.42105263157894735"/>
  </r>
  <r>
    <x v="19"/>
    <x v="19"/>
    <n v="941"/>
    <n v="997"/>
    <n v="1283"/>
    <n v="1342"/>
    <n v="1431"/>
    <x v="19"/>
    <n v="1598"/>
    <n v="1651"/>
    <n v="1671"/>
    <n v="1721"/>
    <n v="1724"/>
    <n v="1861"/>
    <n v="1903"/>
    <n v="1930"/>
    <n v="2003"/>
    <n v="2088"/>
    <n v="2311"/>
    <n v="2370"/>
    <n v="2373"/>
    <n v="2402"/>
    <n v="2476"/>
    <x v="19"/>
    <n v="41266"/>
    <x v="2"/>
    <n v="1.83745963401507"/>
  </r>
  <r>
    <x v="20"/>
    <x v="20"/>
    <n v="8173"/>
    <n v="8391"/>
    <n v="8554"/>
    <n v="8909"/>
    <n v="9168"/>
    <x v="20"/>
    <n v="9387"/>
    <n v="9389"/>
    <n v="9423"/>
    <n v="9551"/>
    <n v="9724"/>
    <n v="10011"/>
    <n v="10351"/>
    <n v="10774"/>
    <n v="11282"/>
    <n v="11855"/>
    <n v="12599"/>
    <n v="13348"/>
    <n v="13394"/>
    <n v="14077"/>
    <n v="14301"/>
    <x v="20"/>
    <n v="243875"/>
    <x v="5"/>
    <n v="0.80295007564296517"/>
  </r>
  <r>
    <x v="21"/>
    <x v="21"/>
    <n v="7789"/>
    <n v="8054"/>
    <n v="8310"/>
    <n v="8713"/>
    <n v="10309"/>
    <x v="21"/>
    <n v="11931"/>
    <n v="12330"/>
    <n v="13234"/>
    <n v="13512"/>
    <n v="13946"/>
    <n v="14573"/>
    <n v="16934"/>
    <n v="18500"/>
    <n v="20850"/>
    <n v="22427"/>
    <n v="23668"/>
    <n v="25573"/>
    <n v="30723"/>
    <n v="33265"/>
    <n v="33307"/>
    <x v="21"/>
    <n v="401816"/>
    <x v="5"/>
    <n v="3.4770559422531582"/>
  </r>
  <r>
    <x v="22"/>
    <x v="22"/>
    <n v="45"/>
    <n v="48"/>
    <n v="46"/>
    <n v="48"/>
    <n v="49"/>
    <x v="22"/>
    <n v="42"/>
    <n v="44"/>
    <n v="43"/>
    <n v="45"/>
    <n v="42"/>
    <n v="46"/>
    <n v="50"/>
    <n v="67"/>
    <n v="54"/>
    <n v="59"/>
    <n v="61"/>
    <n v="84"/>
    <n v="74"/>
    <n v="87"/>
    <n v="87"/>
    <x v="22"/>
    <n v="1281"/>
    <x v="1"/>
    <n v="1.3513513513513513"/>
  </r>
  <r>
    <x v="23"/>
    <x v="23"/>
    <n v="4622"/>
    <n v="4752"/>
    <n v="4784"/>
    <n v="5474"/>
    <n v="6277"/>
    <x v="23"/>
    <n v="6651"/>
    <n v="6787"/>
    <n v="6831"/>
    <n v="6968"/>
    <n v="7005"/>
    <n v="7049"/>
    <n v="7132"/>
    <n v="7244"/>
    <n v="7556"/>
    <n v="7742"/>
    <n v="8362"/>
    <n v="8759"/>
    <n v="9790"/>
    <n v="10107"/>
    <n v="10317"/>
    <x v="23"/>
    <n v="166545"/>
    <x v="0"/>
    <n v="1.1668003207698476"/>
  </r>
  <r>
    <x v="24"/>
    <x v="24"/>
    <n v="0"/>
    <n v="0"/>
    <n v="0"/>
    <n v="0"/>
    <n v="0"/>
    <x v="24"/>
    <n v="0"/>
    <n v="0"/>
    <n v="0"/>
    <n v="0"/>
    <n v="0"/>
    <n v="0"/>
    <n v="4207"/>
    <n v="4442"/>
    <n v="4681"/>
    <n v="4965"/>
    <n v="5416"/>
    <n v="5590"/>
    <n v="5765"/>
    <n v="5808"/>
    <n v="5855"/>
    <x v="24"/>
    <n v="52569"/>
    <x v="0"/>
    <n v="1.3917280722605181"/>
  </r>
  <r>
    <x v="25"/>
    <x v="25"/>
    <n v="79"/>
    <n v="84"/>
    <n v="86"/>
    <n v="87"/>
    <n v="89"/>
    <x v="25"/>
    <n v="96"/>
    <n v="100"/>
    <n v="104"/>
    <n v="111"/>
    <n v="118"/>
    <n v="130"/>
    <n v="141"/>
    <n v="152"/>
    <n v="160"/>
    <n v="174"/>
    <n v="185"/>
    <n v="199"/>
    <n v="206"/>
    <n v="217"/>
    <n v="230"/>
    <x v="25"/>
    <n v="3176"/>
    <x v="1"/>
    <n v="1.7444444444444445"/>
  </r>
  <r>
    <x v="26"/>
    <x v="26"/>
    <n v="15288"/>
    <n v="15943"/>
    <n v="16512"/>
    <n v="17356"/>
    <n v="18094"/>
    <x v="26"/>
    <n v="19537"/>
    <n v="20203"/>
    <n v="21031"/>
    <n v="22556"/>
    <n v="23330"/>
    <n v="24194"/>
    <n v="25198"/>
    <n v="26387"/>
    <n v="27770"/>
    <n v="29052"/>
    <n v="30519"/>
    <n v="31864"/>
    <n v="31359"/>
    <n v="33874"/>
    <n v="36242"/>
    <x v="26"/>
    <n v="558598"/>
    <x v="5"/>
    <n v="1.6474604041507372"/>
  </r>
  <r>
    <x v="27"/>
    <x v="27"/>
    <n v="1079"/>
    <n v="1188"/>
    <n v="1195"/>
    <n v="1206"/>
    <n v="1213"/>
    <x v="27"/>
    <n v="1230"/>
    <n v="1377"/>
    <n v="1383"/>
    <n v="1417"/>
    <n v="1478"/>
    <n v="1550"/>
    <n v="1565"/>
    <n v="1656"/>
    <n v="1692"/>
    <n v="1742"/>
    <n v="1792"/>
    <n v="1845"/>
    <n v="1797"/>
    <n v="1856"/>
    <n v="1859"/>
    <x v="27"/>
    <n v="34305"/>
    <x v="5"/>
    <n v="0.78048780487804881"/>
  </r>
  <r>
    <x v="28"/>
    <x v="28"/>
    <n v="3600"/>
    <n v="3686"/>
    <n v="3790"/>
    <n v="3891"/>
    <n v="3983"/>
    <x v="28"/>
    <n v="4176"/>
    <n v="4300"/>
    <n v="4471"/>
    <n v="4672"/>
    <n v="4859"/>
    <n v="4906"/>
    <n v="4961"/>
    <n v="5038"/>
    <n v="5183"/>
    <n v="5389"/>
    <n v="5607"/>
    <n v="5869"/>
    <n v="6165"/>
    <n v="6414"/>
    <n v="6969"/>
    <x v="28"/>
    <n v="113181"/>
    <x v="2"/>
    <n v="1.1763869132290186"/>
  </r>
  <r>
    <x v="29"/>
    <x v="29"/>
    <n v="26"/>
    <n v="25"/>
    <n v="24"/>
    <n v="20"/>
    <n v="23"/>
    <x v="29"/>
    <n v="26"/>
    <n v="24"/>
    <n v="25"/>
    <n v="26"/>
    <n v="21"/>
    <n v="14"/>
    <n v="16"/>
    <n v="15"/>
    <n v="16"/>
    <n v="17"/>
    <n v="18"/>
    <n v="19"/>
    <n v="15"/>
    <n v="17"/>
    <n v="17"/>
    <x v="29"/>
    <n v="469"/>
    <x v="6"/>
    <n v="0.13043478260869565"/>
  </r>
  <r>
    <x v="30"/>
    <x v="30"/>
    <n v="43"/>
    <n v="44"/>
    <n v="43"/>
    <n v="46"/>
    <n v="46"/>
    <x v="30"/>
    <n v="47"/>
    <n v="46"/>
    <n v="45"/>
    <n v="45"/>
    <n v="44"/>
    <n v="44"/>
    <n v="44"/>
    <n v="43"/>
    <n v="36"/>
    <n v="42"/>
    <n v="45"/>
    <n v="49"/>
    <n v="52"/>
    <n v="57"/>
    <n v="56"/>
    <x v="30"/>
    <n v="1007"/>
    <x v="5"/>
    <n v="0.32558139534883723"/>
  </r>
  <r>
    <x v="31"/>
    <x v="24"/>
    <n v="0"/>
    <n v="0"/>
    <n v="0"/>
    <n v="0"/>
    <n v="0"/>
    <x v="24"/>
    <n v="0"/>
    <n v="0"/>
    <n v="0"/>
    <n v="0"/>
    <n v="0"/>
    <n v="0"/>
    <n v="0"/>
    <n v="0"/>
    <n v="0"/>
    <n v="0"/>
    <n v="0"/>
    <n v="0"/>
    <n v="15"/>
    <n v="29"/>
    <n v="31"/>
    <x v="31"/>
    <n v="104.31"/>
    <x v="5"/>
    <n v="2.0666666666666669"/>
  </r>
  <r>
    <x v="32"/>
    <x v="31"/>
    <n v="8"/>
    <n v="8"/>
    <n v="4"/>
    <n v="5"/>
    <n v="5"/>
    <x v="31"/>
    <n v="10"/>
    <n v="10"/>
    <n v="11"/>
    <n v="11"/>
    <n v="11"/>
    <n v="11"/>
    <n v="9"/>
    <n v="9"/>
    <n v="8"/>
    <n v="8"/>
    <n v="1"/>
    <n v="1"/>
    <n v="1"/>
    <n v="2"/>
    <n v="2"/>
    <x v="32"/>
    <n v="155"/>
    <x v="4"/>
    <n v="0.375"/>
  </r>
  <r>
    <x v="33"/>
    <x v="32"/>
    <n v="1"/>
    <n v="1"/>
    <n v="1"/>
    <n v="1"/>
    <n v="1"/>
    <x v="32"/>
    <n v="1"/>
    <n v="1"/>
    <n v="1"/>
    <n v="1"/>
    <n v="1"/>
    <n v="1"/>
    <n v="1"/>
    <n v="0"/>
    <n v="0"/>
    <n v="0"/>
    <n v="0"/>
    <n v="0"/>
    <n v="0"/>
    <n v="0"/>
    <n v="0"/>
    <x v="33"/>
    <n v="14"/>
    <x v="4"/>
    <n v="0"/>
  </r>
  <r>
    <x v="34"/>
    <x v="33"/>
    <n v="296"/>
    <n v="299"/>
    <n v="303"/>
    <n v="310"/>
    <n v="288"/>
    <x v="33"/>
    <n v="450"/>
    <n v="466"/>
    <n v="480"/>
    <n v="502"/>
    <n v="287"/>
    <n v="284"/>
    <n v="280"/>
    <n v="281"/>
    <n v="279"/>
    <n v="279"/>
    <n v="300"/>
    <n v="300"/>
    <n v="450"/>
    <n v="450"/>
    <n v="488"/>
    <x v="34"/>
    <n v="8299"/>
    <x v="5"/>
    <n v="0.70748299319727892"/>
  </r>
  <r>
    <x v="35"/>
    <x v="34"/>
    <n v="2"/>
    <n v="1"/>
    <n v="1"/>
    <n v="2"/>
    <n v="2"/>
    <x v="34"/>
    <n v="2"/>
    <n v="2"/>
    <n v="2"/>
    <n v="2"/>
    <n v="2"/>
    <n v="6"/>
    <n v="4"/>
    <n v="3"/>
    <n v="3"/>
    <n v="3"/>
    <n v="4"/>
    <n v="4"/>
    <n v="4"/>
    <n v="0.42"/>
    <n v="0.41"/>
    <x v="35"/>
    <n v="54.22"/>
    <x v="6"/>
    <n v="2"/>
  </r>
  <r>
    <x v="36"/>
    <x v="22"/>
    <n v="37"/>
    <n v="40"/>
    <n v="41"/>
    <n v="43"/>
    <n v="45"/>
    <x v="35"/>
    <n v="46"/>
    <n v="46"/>
    <n v="47"/>
    <n v="45"/>
    <n v="47"/>
    <n v="47"/>
    <n v="48"/>
    <n v="48"/>
    <n v="48"/>
    <n v="49"/>
    <n v="49"/>
    <n v="50"/>
    <n v="50"/>
    <n v="50"/>
    <n v="50"/>
    <x v="36"/>
    <n v="1059"/>
    <x v="0"/>
    <n v="0.35135135135135137"/>
  </r>
  <r>
    <x v="37"/>
    <x v="35"/>
    <n v="86159"/>
    <n v="88082"/>
    <n v="92484"/>
    <n v="97066"/>
    <n v="102580"/>
    <x v="36"/>
    <n v="112183"/>
    <n v="116425"/>
    <n v="121848"/>
    <n v="127904"/>
    <n v="132431"/>
    <n v="137685"/>
    <n v="146314"/>
    <n v="155491"/>
    <n v="165404"/>
    <n v="176347"/>
    <n v="187749"/>
    <n v="198440"/>
    <n v="209960"/>
    <n v="222069"/>
    <n v="230577"/>
    <x v="37"/>
    <n v="3338837"/>
    <x v="7"/>
    <n v="1.83509466151695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8">
  <r>
    <x v="0"/>
    <x v="0"/>
    <x v="0"/>
    <n v="5814"/>
  </r>
  <r>
    <x v="1"/>
    <x v="0"/>
    <x v="0"/>
    <n v="6584"/>
  </r>
  <r>
    <x v="2"/>
    <x v="0"/>
    <x v="0"/>
    <n v="6959"/>
  </r>
  <r>
    <x v="3"/>
    <x v="0"/>
    <x v="0"/>
    <n v="7257"/>
  </r>
  <r>
    <x v="4"/>
    <x v="0"/>
    <x v="0"/>
    <n v="7624"/>
  </r>
  <r>
    <x v="5"/>
    <x v="0"/>
    <x v="0"/>
    <n v="7938"/>
  </r>
  <r>
    <x v="6"/>
    <x v="0"/>
    <x v="0"/>
    <n v="8925"/>
  </r>
  <r>
    <x v="7"/>
    <x v="0"/>
    <x v="0"/>
    <n v="9570"/>
  </r>
  <r>
    <x v="8"/>
    <x v="0"/>
    <x v="0"/>
    <n v="10429"/>
  </r>
  <r>
    <x v="9"/>
    <x v="0"/>
    <x v="0"/>
    <n v="11203"/>
  </r>
  <r>
    <x v="10"/>
    <x v="0"/>
    <x v="0"/>
    <n v="12088"/>
  </r>
  <r>
    <x v="11"/>
    <x v="0"/>
    <x v="0"/>
    <n v="12762"/>
  </r>
  <r>
    <x v="12"/>
    <x v="0"/>
    <x v="0"/>
    <n v="13007"/>
  </r>
  <r>
    <x v="13"/>
    <x v="0"/>
    <x v="0"/>
    <n v="9656"/>
  </r>
  <r>
    <x v="14"/>
    <x v="0"/>
    <x v="0"/>
    <n v="10817"/>
  </r>
  <r>
    <x v="15"/>
    <x v="0"/>
    <x v="0"/>
    <n v="12178"/>
  </r>
  <r>
    <x v="16"/>
    <x v="0"/>
    <x v="0"/>
    <n v="13725"/>
  </r>
  <r>
    <x v="17"/>
    <x v="0"/>
    <x v="0"/>
    <n v="15044"/>
  </r>
  <r>
    <x v="18"/>
    <x v="0"/>
    <x v="0"/>
    <n v="15263"/>
  </r>
  <r>
    <x v="19"/>
    <x v="0"/>
    <x v="0"/>
    <n v="14714"/>
  </r>
  <r>
    <x v="20"/>
    <x v="0"/>
    <x v="0"/>
    <n v="15403"/>
  </r>
  <r>
    <x v="21"/>
    <x v="0"/>
    <x v="0"/>
    <n v="15448"/>
  </r>
  <r>
    <x v="22"/>
    <x v="0"/>
    <x v="0"/>
    <n v="13994"/>
  </r>
  <r>
    <x v="0"/>
    <x v="1"/>
    <x v="1"/>
    <n v="42"/>
  </r>
  <r>
    <x v="1"/>
    <x v="1"/>
    <x v="1"/>
    <n v="46"/>
  </r>
  <r>
    <x v="2"/>
    <x v="1"/>
    <x v="1"/>
    <n v="46"/>
  </r>
  <r>
    <x v="3"/>
    <x v="1"/>
    <x v="1"/>
    <n v="48"/>
  </r>
  <r>
    <x v="4"/>
    <x v="1"/>
    <x v="1"/>
    <n v="48"/>
  </r>
  <r>
    <x v="5"/>
    <x v="1"/>
    <x v="1"/>
    <n v="49"/>
  </r>
  <r>
    <x v="6"/>
    <x v="1"/>
    <x v="1"/>
    <n v="32"/>
  </r>
  <r>
    <x v="7"/>
    <x v="1"/>
    <x v="1"/>
    <n v="24"/>
  </r>
  <r>
    <x v="8"/>
    <x v="1"/>
    <x v="1"/>
    <n v="26"/>
  </r>
  <r>
    <x v="9"/>
    <x v="1"/>
    <x v="1"/>
    <n v="28"/>
  </r>
  <r>
    <x v="10"/>
    <x v="1"/>
    <x v="1"/>
    <n v="22"/>
  </r>
  <r>
    <x v="11"/>
    <x v="1"/>
    <x v="1"/>
    <n v="23"/>
  </r>
  <r>
    <x v="12"/>
    <x v="1"/>
    <x v="1"/>
    <n v="43"/>
  </r>
  <r>
    <x v="13"/>
    <x v="1"/>
    <x v="1"/>
    <n v="46"/>
  </r>
  <r>
    <x v="14"/>
    <x v="1"/>
    <x v="1"/>
    <n v="50"/>
  </r>
  <r>
    <x v="15"/>
    <x v="1"/>
    <x v="1"/>
    <n v="53"/>
  </r>
  <r>
    <x v="16"/>
    <x v="1"/>
    <x v="1"/>
    <n v="54"/>
  </r>
  <r>
    <x v="17"/>
    <x v="1"/>
    <x v="1"/>
    <n v="55"/>
  </r>
  <r>
    <x v="18"/>
    <x v="1"/>
    <x v="1"/>
    <n v="61"/>
  </r>
  <r>
    <x v="19"/>
    <x v="1"/>
    <x v="1"/>
    <n v="44"/>
  </r>
  <r>
    <x v="20"/>
    <x v="1"/>
    <x v="1"/>
    <n v="46"/>
  </r>
  <r>
    <x v="21"/>
    <x v="1"/>
    <x v="1"/>
    <n v="46"/>
  </r>
  <r>
    <x v="22"/>
    <x v="1"/>
    <x v="1"/>
    <n v="20"/>
  </r>
  <r>
    <x v="0"/>
    <x v="2"/>
    <x v="1"/>
    <n v="682"/>
  </r>
  <r>
    <x v="1"/>
    <x v="2"/>
    <x v="1"/>
    <n v="705"/>
  </r>
  <r>
    <x v="2"/>
    <x v="2"/>
    <x v="1"/>
    <n v="727"/>
  </r>
  <r>
    <x v="3"/>
    <x v="2"/>
    <x v="1"/>
    <n v="739"/>
  </r>
  <r>
    <x v="4"/>
    <x v="2"/>
    <x v="1"/>
    <n v="747"/>
  </r>
  <r>
    <x v="5"/>
    <x v="2"/>
    <x v="1"/>
    <n v="750"/>
  </r>
  <r>
    <x v="6"/>
    <x v="2"/>
    <x v="1"/>
    <n v="752"/>
  </r>
  <r>
    <x v="7"/>
    <x v="2"/>
    <x v="1"/>
    <n v="753"/>
  </r>
  <r>
    <x v="8"/>
    <x v="2"/>
    <x v="1"/>
    <n v="756"/>
  </r>
  <r>
    <x v="9"/>
    <x v="2"/>
    <x v="1"/>
    <n v="790"/>
  </r>
  <r>
    <x v="10"/>
    <x v="2"/>
    <x v="1"/>
    <n v="796"/>
  </r>
  <r>
    <x v="11"/>
    <x v="2"/>
    <x v="1"/>
    <n v="800"/>
  </r>
  <r>
    <x v="12"/>
    <x v="2"/>
    <x v="1"/>
    <n v="815"/>
  </r>
  <r>
    <x v="13"/>
    <x v="2"/>
    <x v="1"/>
    <n v="829"/>
  </r>
  <r>
    <x v="14"/>
    <x v="2"/>
    <x v="1"/>
    <n v="843"/>
  </r>
  <r>
    <x v="15"/>
    <x v="2"/>
    <x v="1"/>
    <n v="861"/>
  </r>
  <r>
    <x v="16"/>
    <x v="2"/>
    <x v="1"/>
    <n v="872"/>
  </r>
  <r>
    <x v="17"/>
    <x v="2"/>
    <x v="1"/>
    <n v="882"/>
  </r>
  <r>
    <x v="18"/>
    <x v="2"/>
    <x v="1"/>
    <n v="920"/>
  </r>
  <r>
    <x v="19"/>
    <x v="2"/>
    <x v="1"/>
    <n v="954"/>
  </r>
  <r>
    <x v="20"/>
    <x v="2"/>
    <x v="1"/>
    <n v="982"/>
  </r>
  <r>
    <x v="21"/>
    <x v="2"/>
    <x v="1"/>
    <n v="1006"/>
  </r>
  <r>
    <x v="22"/>
    <x v="2"/>
    <x v="1"/>
    <n v="1092"/>
  </r>
  <r>
    <x v="0"/>
    <x v="3"/>
    <x v="2"/>
    <n v="2664"/>
  </r>
  <r>
    <x v="1"/>
    <x v="3"/>
    <x v="2"/>
    <n v="2869"/>
  </r>
  <r>
    <x v="2"/>
    <x v="3"/>
    <x v="2"/>
    <n v="3180"/>
  </r>
  <r>
    <x v="3"/>
    <x v="3"/>
    <x v="2"/>
    <n v="4743"/>
  </r>
  <r>
    <x v="4"/>
    <x v="3"/>
    <x v="2"/>
    <n v="5060"/>
  </r>
  <r>
    <x v="5"/>
    <x v="3"/>
    <x v="2"/>
    <n v="5451"/>
  </r>
  <r>
    <x v="6"/>
    <x v="3"/>
    <x v="2"/>
    <n v="5783"/>
  </r>
  <r>
    <x v="7"/>
    <x v="3"/>
    <x v="2"/>
    <n v="5934"/>
  </r>
  <r>
    <x v="8"/>
    <x v="3"/>
    <x v="2"/>
    <n v="6124"/>
  </r>
  <r>
    <x v="9"/>
    <x v="3"/>
    <x v="2"/>
    <n v="6517"/>
  </r>
  <r>
    <x v="10"/>
    <x v="3"/>
    <x v="2"/>
    <n v="6643"/>
  </r>
  <r>
    <x v="11"/>
    <x v="3"/>
    <x v="2"/>
    <n v="6845"/>
  </r>
  <r>
    <x v="12"/>
    <x v="3"/>
    <x v="2"/>
    <n v="7197"/>
  </r>
  <r>
    <x v="13"/>
    <x v="3"/>
    <x v="2"/>
    <n v="7775"/>
  </r>
  <r>
    <x v="14"/>
    <x v="3"/>
    <x v="2"/>
    <n v="8288"/>
  </r>
  <r>
    <x v="15"/>
    <x v="3"/>
    <x v="2"/>
    <n v="8711"/>
  </r>
  <r>
    <x v="16"/>
    <x v="3"/>
    <x v="2"/>
    <n v="9242"/>
  </r>
  <r>
    <x v="17"/>
    <x v="3"/>
    <x v="2"/>
    <n v="9818"/>
  </r>
  <r>
    <x v="18"/>
    <x v="3"/>
    <x v="2"/>
    <n v="10480"/>
  </r>
  <r>
    <x v="19"/>
    <x v="3"/>
    <x v="2"/>
    <n v="11502"/>
  </r>
  <r>
    <x v="20"/>
    <x v="3"/>
    <x v="2"/>
    <n v="12253"/>
  </r>
  <r>
    <x v="21"/>
    <x v="3"/>
    <x v="2"/>
    <n v="12503"/>
  </r>
  <r>
    <x v="22"/>
    <x v="3"/>
    <x v="2"/>
    <n v="12853"/>
  </r>
  <r>
    <x v="0"/>
    <x v="4"/>
    <x v="3"/>
    <n v="795"/>
  </r>
  <r>
    <x v="1"/>
    <x v="4"/>
    <x v="3"/>
    <n v="804"/>
  </r>
  <r>
    <x v="2"/>
    <x v="4"/>
    <x v="3"/>
    <n v="812"/>
  </r>
  <r>
    <x v="3"/>
    <x v="4"/>
    <x v="3"/>
    <n v="831"/>
  </r>
  <r>
    <x v="4"/>
    <x v="4"/>
    <x v="3"/>
    <n v="839"/>
  </r>
  <r>
    <x v="5"/>
    <x v="4"/>
    <x v="3"/>
    <n v="849"/>
  </r>
  <r>
    <x v="6"/>
    <x v="4"/>
    <x v="3"/>
    <n v="866"/>
  </r>
  <r>
    <x v="7"/>
    <x v="4"/>
    <x v="3"/>
    <n v="908"/>
  </r>
  <r>
    <x v="8"/>
    <x v="4"/>
    <x v="3"/>
    <n v="956"/>
  </r>
  <r>
    <x v="9"/>
    <x v="4"/>
    <x v="3"/>
    <n v="1029"/>
  </r>
  <r>
    <x v="10"/>
    <x v="4"/>
    <x v="3"/>
    <n v="1119"/>
  </r>
  <r>
    <x v="11"/>
    <x v="4"/>
    <x v="3"/>
    <n v="1164"/>
  </r>
  <r>
    <x v="12"/>
    <x v="4"/>
    <x v="3"/>
    <n v="1209"/>
  </r>
  <r>
    <x v="13"/>
    <x v="4"/>
    <x v="3"/>
    <n v="1232"/>
  </r>
  <r>
    <x v="14"/>
    <x v="4"/>
    <x v="3"/>
    <n v="1277"/>
  </r>
  <r>
    <x v="15"/>
    <x v="4"/>
    <x v="3"/>
    <n v="1374"/>
  </r>
  <r>
    <x v="16"/>
    <x v="4"/>
    <x v="3"/>
    <n v="1469"/>
  </r>
  <r>
    <x v="17"/>
    <x v="4"/>
    <x v="3"/>
    <n v="1567"/>
  </r>
  <r>
    <x v="18"/>
    <x v="4"/>
    <x v="3"/>
    <n v="1676"/>
  </r>
  <r>
    <x v="19"/>
    <x v="4"/>
    <x v="3"/>
    <n v="1747"/>
  </r>
  <r>
    <x v="20"/>
    <x v="4"/>
    <x v="3"/>
    <n v="1848"/>
  </r>
  <r>
    <x v="21"/>
    <x v="4"/>
    <x v="3"/>
    <n v="1956"/>
  </r>
  <r>
    <x v="22"/>
    <x v="4"/>
    <x v="3"/>
    <n v="2124"/>
  </r>
  <r>
    <x v="0"/>
    <x v="5"/>
    <x v="4"/>
    <n v="45"/>
  </r>
  <r>
    <x v="1"/>
    <x v="5"/>
    <x v="4"/>
    <n v="46"/>
  </r>
  <r>
    <x v="2"/>
    <x v="5"/>
    <x v="4"/>
    <n v="48"/>
  </r>
  <r>
    <x v="3"/>
    <x v="5"/>
    <x v="4"/>
    <n v="57"/>
  </r>
  <r>
    <x v="4"/>
    <x v="5"/>
    <x v="4"/>
    <n v="56"/>
  </r>
  <r>
    <x v="5"/>
    <x v="5"/>
    <x v="4"/>
    <n v="57"/>
  </r>
  <r>
    <x v="6"/>
    <x v="5"/>
    <x v="4"/>
    <n v="58"/>
  </r>
  <r>
    <x v="7"/>
    <x v="5"/>
    <x v="4"/>
    <n v="59"/>
  </r>
  <r>
    <x v="8"/>
    <x v="5"/>
    <x v="4"/>
    <n v="59"/>
  </r>
  <r>
    <x v="9"/>
    <x v="5"/>
    <x v="4"/>
    <n v="60"/>
  </r>
  <r>
    <x v="10"/>
    <x v="5"/>
    <x v="4"/>
    <n v="60"/>
  </r>
  <r>
    <x v="11"/>
    <x v="5"/>
    <x v="4"/>
    <n v="61"/>
  </r>
  <r>
    <x v="12"/>
    <x v="5"/>
    <x v="4"/>
    <n v="68"/>
  </r>
  <r>
    <x v="13"/>
    <x v="5"/>
    <x v="4"/>
    <n v="67"/>
  </r>
  <r>
    <x v="14"/>
    <x v="5"/>
    <x v="4"/>
    <n v="54"/>
  </r>
  <r>
    <x v="15"/>
    <x v="5"/>
    <x v="4"/>
    <n v="51"/>
  </r>
  <r>
    <x v="16"/>
    <x v="5"/>
    <x v="4"/>
    <n v="55"/>
  </r>
  <r>
    <x v="17"/>
    <x v="5"/>
    <x v="4"/>
    <n v="57"/>
  </r>
  <r>
    <x v="18"/>
    <x v="5"/>
    <x v="4"/>
    <n v="61"/>
  </r>
  <r>
    <x v="19"/>
    <x v="5"/>
    <x v="4"/>
    <n v="60"/>
  </r>
  <r>
    <x v="20"/>
    <x v="5"/>
    <x v="4"/>
    <n v="63"/>
  </r>
  <r>
    <x v="21"/>
    <x v="5"/>
    <x v="4"/>
    <n v="64"/>
  </r>
  <r>
    <x v="22"/>
    <x v="5"/>
    <x v="4"/>
    <n v="64"/>
  </r>
  <r>
    <x v="0"/>
    <x v="6"/>
    <x v="4"/>
    <n v="5862"/>
  </r>
  <r>
    <x v="1"/>
    <x v="6"/>
    <x v="4"/>
    <n v="6089"/>
  </r>
  <r>
    <x v="2"/>
    <x v="6"/>
    <x v="4"/>
    <n v="6421"/>
  </r>
  <r>
    <x v="3"/>
    <x v="6"/>
    <x v="4"/>
    <n v="6745"/>
  </r>
  <r>
    <x v="4"/>
    <x v="6"/>
    <x v="4"/>
    <n v="6960"/>
  </r>
  <r>
    <x v="5"/>
    <x v="6"/>
    <x v="4"/>
    <n v="7533"/>
  </r>
  <r>
    <x v="6"/>
    <x v="6"/>
    <x v="4"/>
    <n v="7911"/>
  </r>
  <r>
    <x v="7"/>
    <x v="6"/>
    <x v="4"/>
    <n v="8386"/>
  </r>
  <r>
    <x v="8"/>
    <x v="6"/>
    <x v="4"/>
    <n v="8844"/>
  </r>
  <r>
    <x v="9"/>
    <x v="6"/>
    <x v="4"/>
    <n v="9321"/>
  </r>
  <r>
    <x v="10"/>
    <x v="6"/>
    <x v="4"/>
    <n v="9817"/>
  </r>
  <r>
    <x v="11"/>
    <x v="6"/>
    <x v="4"/>
    <n v="10315"/>
  </r>
  <r>
    <x v="12"/>
    <x v="6"/>
    <x v="4"/>
    <n v="11112"/>
  </r>
  <r>
    <x v="13"/>
    <x v="6"/>
    <x v="4"/>
    <n v="11691"/>
  </r>
  <r>
    <x v="14"/>
    <x v="6"/>
    <x v="4"/>
    <n v="12262"/>
  </r>
  <r>
    <x v="15"/>
    <x v="6"/>
    <x v="4"/>
    <n v="12784"/>
  </r>
  <r>
    <x v="16"/>
    <x v="6"/>
    <x v="4"/>
    <n v="13569"/>
  </r>
  <r>
    <x v="17"/>
    <x v="6"/>
    <x v="4"/>
    <n v="14493"/>
  </r>
  <r>
    <x v="18"/>
    <x v="6"/>
    <x v="4"/>
    <n v="15292"/>
  </r>
  <r>
    <x v="19"/>
    <x v="6"/>
    <x v="4"/>
    <n v="15853"/>
  </r>
  <r>
    <x v="20"/>
    <x v="6"/>
    <x v="4"/>
    <n v="16722"/>
  </r>
  <r>
    <x v="21"/>
    <x v="6"/>
    <x v="4"/>
    <n v="17281"/>
  </r>
  <r>
    <x v="22"/>
    <x v="6"/>
    <x v="4"/>
    <n v="18312"/>
  </r>
  <r>
    <x v="0"/>
    <x v="7"/>
    <x v="5"/>
    <n v="4978"/>
  </r>
  <r>
    <x v="1"/>
    <x v="7"/>
    <x v="5"/>
    <n v="5124"/>
  </r>
  <r>
    <x v="2"/>
    <x v="7"/>
    <x v="5"/>
    <n v="5221"/>
  </r>
  <r>
    <x v="3"/>
    <x v="7"/>
    <x v="5"/>
    <n v="5222"/>
  </r>
  <r>
    <x v="4"/>
    <x v="7"/>
    <x v="5"/>
    <n v="5299"/>
  </r>
  <r>
    <x v="5"/>
    <x v="7"/>
    <x v="5"/>
    <n v="5366"/>
  </r>
  <r>
    <x v="6"/>
    <x v="7"/>
    <x v="5"/>
    <n v="5442"/>
  </r>
  <r>
    <x v="7"/>
    <x v="7"/>
    <x v="5"/>
    <n v="5745"/>
  </r>
  <r>
    <x v="8"/>
    <x v="7"/>
    <x v="5"/>
    <n v="6006"/>
  </r>
  <r>
    <x v="9"/>
    <x v="7"/>
    <x v="5"/>
    <n v="6267"/>
  </r>
  <r>
    <x v="10"/>
    <x v="7"/>
    <x v="5"/>
    <n v="6661"/>
  </r>
  <r>
    <x v="11"/>
    <x v="7"/>
    <x v="5"/>
    <n v="7040"/>
  </r>
  <r>
    <x v="12"/>
    <x v="7"/>
    <x v="5"/>
    <n v="7442"/>
  </r>
  <r>
    <x v="13"/>
    <x v="7"/>
    <x v="5"/>
    <n v="7901"/>
  </r>
  <r>
    <x v="14"/>
    <x v="7"/>
    <x v="5"/>
    <n v="8381"/>
  </r>
  <r>
    <x v="15"/>
    <x v="7"/>
    <x v="5"/>
    <n v="8975"/>
  </r>
  <r>
    <x v="16"/>
    <x v="7"/>
    <x v="5"/>
    <n v="9809"/>
  </r>
  <r>
    <x v="17"/>
    <x v="7"/>
    <x v="5"/>
    <n v="10726"/>
  </r>
  <r>
    <x v="18"/>
    <x v="7"/>
    <x v="5"/>
    <n v="11735"/>
  </r>
  <r>
    <x v="19"/>
    <x v="7"/>
    <x v="5"/>
    <n v="11284"/>
  </r>
  <r>
    <x v="20"/>
    <x v="7"/>
    <x v="5"/>
    <n v="11630"/>
  </r>
  <r>
    <x v="21"/>
    <x v="7"/>
    <x v="5"/>
    <n v="11966"/>
  </r>
  <r>
    <x v="22"/>
    <x v="7"/>
    <x v="5"/>
    <n v="12220"/>
  </r>
  <r>
    <x v="0"/>
    <x v="8"/>
    <x v="5"/>
    <n v="756"/>
  </r>
  <r>
    <x v="1"/>
    <x v="8"/>
    <x v="5"/>
    <n v="773"/>
  </r>
  <r>
    <x v="2"/>
    <x v="8"/>
    <x v="5"/>
    <n v="786"/>
  </r>
  <r>
    <x v="3"/>
    <x v="8"/>
    <x v="5"/>
    <n v="870"/>
  </r>
  <r>
    <x v="4"/>
    <x v="8"/>
    <x v="5"/>
    <n v="869"/>
  </r>
  <r>
    <x v="5"/>
    <x v="8"/>
    <x v="5"/>
    <n v="933"/>
  </r>
  <r>
    <x v="6"/>
    <x v="8"/>
    <x v="5"/>
    <n v="1007"/>
  </r>
  <r>
    <x v="7"/>
    <x v="8"/>
    <x v="5"/>
    <n v="1026"/>
  </r>
  <r>
    <x v="8"/>
    <x v="8"/>
    <x v="5"/>
    <n v="971"/>
  </r>
  <r>
    <x v="9"/>
    <x v="8"/>
    <x v="5"/>
    <n v="1102"/>
  </r>
  <r>
    <x v="10"/>
    <x v="8"/>
    <x v="5"/>
    <n v="1120"/>
  </r>
  <r>
    <x v="11"/>
    <x v="8"/>
    <x v="5"/>
    <n v="1139"/>
  </r>
  <r>
    <x v="12"/>
    <x v="8"/>
    <x v="5"/>
    <n v="1151"/>
  </r>
  <r>
    <x v="13"/>
    <x v="8"/>
    <x v="5"/>
    <n v="1172"/>
  </r>
  <r>
    <x v="14"/>
    <x v="8"/>
    <x v="5"/>
    <n v="1283"/>
  </r>
  <r>
    <x v="15"/>
    <x v="8"/>
    <x v="5"/>
    <n v="1329"/>
  </r>
  <r>
    <x v="16"/>
    <x v="8"/>
    <x v="5"/>
    <n v="1392"/>
  </r>
  <r>
    <x v="17"/>
    <x v="8"/>
    <x v="5"/>
    <n v="1460"/>
  </r>
  <r>
    <x v="18"/>
    <x v="8"/>
    <x v="5"/>
    <n v="1531"/>
  </r>
  <r>
    <x v="19"/>
    <x v="8"/>
    <x v="5"/>
    <n v="1576"/>
  </r>
  <r>
    <x v="20"/>
    <x v="8"/>
    <x v="5"/>
    <n v="1615"/>
  </r>
  <r>
    <x v="21"/>
    <x v="8"/>
    <x v="5"/>
    <n v="1617"/>
  </r>
  <r>
    <x v="22"/>
    <x v="8"/>
    <x v="5"/>
    <n v="1749"/>
  </r>
  <r>
    <x v="0"/>
    <x v="9"/>
    <x v="5"/>
    <n v="1360"/>
  </r>
  <r>
    <x v="1"/>
    <x v="9"/>
    <x v="5"/>
    <n v="1389"/>
  </r>
  <r>
    <x v="2"/>
    <x v="9"/>
    <x v="5"/>
    <n v="1414"/>
  </r>
  <r>
    <x v="3"/>
    <x v="9"/>
    <x v="5"/>
    <n v="1422"/>
  </r>
  <r>
    <x v="4"/>
    <x v="9"/>
    <x v="5"/>
    <n v="1400"/>
  </r>
  <r>
    <x v="5"/>
    <x v="9"/>
    <x v="5"/>
    <n v="1400"/>
  </r>
  <r>
    <x v="6"/>
    <x v="9"/>
    <x v="5"/>
    <n v="1519"/>
  </r>
  <r>
    <x v="7"/>
    <x v="9"/>
    <x v="5"/>
    <n v="1565"/>
  </r>
  <r>
    <x v="8"/>
    <x v="9"/>
    <x v="5"/>
    <n v="1592"/>
  </r>
  <r>
    <x v="9"/>
    <x v="9"/>
    <x v="5"/>
    <n v="1609"/>
  </r>
  <r>
    <x v="10"/>
    <x v="9"/>
    <x v="5"/>
    <n v="1614"/>
  </r>
  <r>
    <x v="11"/>
    <x v="9"/>
    <x v="5"/>
    <n v="1631"/>
  </r>
  <r>
    <x v="12"/>
    <x v="9"/>
    <x v="5"/>
    <n v="1615"/>
  </r>
  <r>
    <x v="13"/>
    <x v="9"/>
    <x v="5"/>
    <n v="1951"/>
  </r>
  <r>
    <x v="14"/>
    <x v="9"/>
    <x v="5"/>
    <n v="2273"/>
  </r>
  <r>
    <x v="15"/>
    <x v="9"/>
    <x v="5"/>
    <n v="2376"/>
  </r>
  <r>
    <x v="16"/>
    <x v="9"/>
    <x v="5"/>
    <n v="2460"/>
  </r>
  <r>
    <x v="17"/>
    <x v="9"/>
    <x v="5"/>
    <n v="2540"/>
  </r>
  <r>
    <x v="18"/>
    <x v="9"/>
    <x v="5"/>
    <n v="2506"/>
  </r>
  <r>
    <x v="19"/>
    <x v="9"/>
    <x v="5"/>
    <n v="2595"/>
  </r>
  <r>
    <x v="20"/>
    <x v="9"/>
    <x v="5"/>
    <n v="2727"/>
  </r>
  <r>
    <x v="21"/>
    <x v="9"/>
    <x v="5"/>
    <n v="2817"/>
  </r>
  <r>
    <x v="22"/>
    <x v="9"/>
    <x v="5"/>
    <n v="2875"/>
  </r>
  <r>
    <x v="0"/>
    <x v="10"/>
    <x v="2"/>
    <n v="940"/>
  </r>
  <r>
    <x v="1"/>
    <x v="10"/>
    <x v="2"/>
    <n v="952"/>
  </r>
  <r>
    <x v="2"/>
    <x v="10"/>
    <x v="2"/>
    <n v="954"/>
  </r>
  <r>
    <x v="3"/>
    <x v="10"/>
    <x v="2"/>
    <n v="1330"/>
  </r>
  <r>
    <x v="4"/>
    <x v="10"/>
    <x v="2"/>
    <n v="1335"/>
  </r>
  <r>
    <x v="5"/>
    <x v="10"/>
    <x v="2"/>
    <n v="1401"/>
  </r>
  <r>
    <x v="6"/>
    <x v="10"/>
    <x v="2"/>
    <n v="1442"/>
  </r>
  <r>
    <x v="7"/>
    <x v="10"/>
    <x v="2"/>
    <n v="1466"/>
  </r>
  <r>
    <x v="8"/>
    <x v="10"/>
    <x v="2"/>
    <n v="1463"/>
  </r>
  <r>
    <x v="9"/>
    <x v="10"/>
    <x v="2"/>
    <n v="1555"/>
  </r>
  <r>
    <x v="10"/>
    <x v="10"/>
    <x v="2"/>
    <n v="1745"/>
  </r>
  <r>
    <x v="11"/>
    <x v="10"/>
    <x v="2"/>
    <n v="1679"/>
  </r>
  <r>
    <x v="12"/>
    <x v="10"/>
    <x v="2"/>
    <n v="1700"/>
  </r>
  <r>
    <x v="13"/>
    <x v="10"/>
    <x v="2"/>
    <n v="1734"/>
  </r>
  <r>
    <x v="14"/>
    <x v="10"/>
    <x v="2"/>
    <n v="1812"/>
  </r>
  <r>
    <x v="15"/>
    <x v="10"/>
    <x v="2"/>
    <n v="1894"/>
  </r>
  <r>
    <x v="16"/>
    <x v="10"/>
    <x v="2"/>
    <n v="2016"/>
  </r>
  <r>
    <x v="17"/>
    <x v="10"/>
    <x v="2"/>
    <n v="2183"/>
  </r>
  <r>
    <x v="18"/>
    <x v="10"/>
    <x v="2"/>
    <n v="2321"/>
  </r>
  <r>
    <x v="19"/>
    <x v="10"/>
    <x v="2"/>
    <n v="2434"/>
  </r>
  <r>
    <x v="20"/>
    <x v="10"/>
    <x v="2"/>
    <n v="2629"/>
  </r>
  <r>
    <x v="21"/>
    <x v="10"/>
    <x v="2"/>
    <n v="2774"/>
  </r>
  <r>
    <x v="22"/>
    <x v="10"/>
    <x v="2"/>
    <n v="3025"/>
  </r>
  <r>
    <x v="0"/>
    <x v="11"/>
    <x v="0"/>
    <n v="4797"/>
  </r>
  <r>
    <x v="1"/>
    <x v="11"/>
    <x v="0"/>
    <n v="4539"/>
  </r>
  <r>
    <x v="2"/>
    <x v="11"/>
    <x v="0"/>
    <n v="3857"/>
  </r>
  <r>
    <x v="3"/>
    <x v="11"/>
    <x v="0"/>
    <n v="3917"/>
  </r>
  <r>
    <x v="4"/>
    <x v="11"/>
    <x v="0"/>
    <n v="4022"/>
  </r>
  <r>
    <x v="5"/>
    <x v="11"/>
    <x v="0"/>
    <n v="4124"/>
  </r>
  <r>
    <x v="6"/>
    <x v="11"/>
    <x v="0"/>
    <n v="4244"/>
  </r>
  <r>
    <x v="7"/>
    <x v="11"/>
    <x v="0"/>
    <n v="4538"/>
  </r>
  <r>
    <x v="8"/>
    <x v="11"/>
    <x v="0"/>
    <n v="4822"/>
  </r>
  <r>
    <x v="9"/>
    <x v="11"/>
    <x v="0"/>
    <n v="5114"/>
  </r>
  <r>
    <x v="10"/>
    <x v="11"/>
    <x v="0"/>
    <n v="5447"/>
  </r>
  <r>
    <x v="11"/>
    <x v="11"/>
    <x v="0"/>
    <n v="5718"/>
  </r>
  <r>
    <x v="12"/>
    <x v="11"/>
    <x v="0"/>
    <n v="5997"/>
  </r>
  <r>
    <x v="13"/>
    <x v="11"/>
    <x v="0"/>
    <n v="6121"/>
  </r>
  <r>
    <x v="14"/>
    <x v="11"/>
    <x v="0"/>
    <n v="6344"/>
  </r>
  <r>
    <x v="15"/>
    <x v="11"/>
    <x v="0"/>
    <n v="6562"/>
  </r>
  <r>
    <x v="16"/>
    <x v="11"/>
    <x v="0"/>
    <n v="7137"/>
  </r>
  <r>
    <x v="17"/>
    <x v="11"/>
    <x v="0"/>
    <n v="7901"/>
  </r>
  <r>
    <x v="18"/>
    <x v="11"/>
    <x v="0"/>
    <n v="9031"/>
  </r>
  <r>
    <x v="19"/>
    <x v="11"/>
    <x v="0"/>
    <n v="10936"/>
  </r>
  <r>
    <x v="20"/>
    <x v="11"/>
    <x v="0"/>
    <n v="11796"/>
  </r>
  <r>
    <x v="21"/>
    <x v="11"/>
    <x v="0"/>
    <n v="12829"/>
  </r>
  <r>
    <x v="22"/>
    <x v="11"/>
    <x v="0"/>
    <n v="13463"/>
  </r>
  <r>
    <x v="0"/>
    <x v="12"/>
    <x v="0"/>
    <n v="2718"/>
  </r>
  <r>
    <x v="1"/>
    <x v="12"/>
    <x v="0"/>
    <n v="2419"/>
  </r>
  <r>
    <x v="2"/>
    <x v="12"/>
    <x v="0"/>
    <n v="2111"/>
  </r>
  <r>
    <x v="3"/>
    <x v="12"/>
    <x v="0"/>
    <n v="2025"/>
  </r>
  <r>
    <x v="4"/>
    <x v="12"/>
    <x v="0"/>
    <n v="2063"/>
  </r>
  <r>
    <x v="5"/>
    <x v="12"/>
    <x v="0"/>
    <n v="2119"/>
  </r>
  <r>
    <x v="6"/>
    <x v="12"/>
    <x v="0"/>
    <n v="2253"/>
  </r>
  <r>
    <x v="7"/>
    <x v="12"/>
    <x v="0"/>
    <n v="2441"/>
  </r>
  <r>
    <x v="8"/>
    <x v="12"/>
    <x v="0"/>
    <n v="2509"/>
  </r>
  <r>
    <x v="9"/>
    <x v="12"/>
    <x v="0"/>
    <n v="2645"/>
  </r>
  <r>
    <x v="10"/>
    <x v="12"/>
    <x v="0"/>
    <n v="2716"/>
  </r>
  <r>
    <x v="11"/>
    <x v="12"/>
    <x v="0"/>
    <n v="2791"/>
  </r>
  <r>
    <x v="12"/>
    <x v="12"/>
    <x v="0"/>
    <n v="2655"/>
  </r>
  <r>
    <x v="13"/>
    <x v="12"/>
    <x v="0"/>
    <n v="2711"/>
  </r>
  <r>
    <x v="14"/>
    <x v="12"/>
    <x v="0"/>
    <n v="2650"/>
  </r>
  <r>
    <x v="15"/>
    <x v="12"/>
    <x v="0"/>
    <n v="2520"/>
  </r>
  <r>
    <x v="16"/>
    <x v="12"/>
    <x v="0"/>
    <n v="2576"/>
  </r>
  <r>
    <x v="17"/>
    <x v="12"/>
    <x v="0"/>
    <n v="2548"/>
  </r>
  <r>
    <x v="18"/>
    <x v="12"/>
    <x v="0"/>
    <n v="2544"/>
  </r>
  <r>
    <x v="19"/>
    <x v="12"/>
    <x v="0"/>
    <n v="2534"/>
  </r>
  <r>
    <x v="20"/>
    <x v="12"/>
    <x v="0"/>
    <n v="2532"/>
  </r>
  <r>
    <x v="21"/>
    <x v="12"/>
    <x v="0"/>
    <n v="2580"/>
  </r>
  <r>
    <x v="22"/>
    <x v="12"/>
    <x v="0"/>
    <n v="2580"/>
  </r>
  <r>
    <x v="0"/>
    <x v="13"/>
    <x v="3"/>
    <n v="5283"/>
  </r>
  <r>
    <x v="1"/>
    <x v="13"/>
    <x v="3"/>
    <n v="5343"/>
  </r>
  <r>
    <x v="2"/>
    <x v="13"/>
    <x v="3"/>
    <n v="5388"/>
  </r>
  <r>
    <x v="3"/>
    <x v="13"/>
    <x v="3"/>
    <n v="5506"/>
  </r>
  <r>
    <x v="4"/>
    <x v="13"/>
    <x v="3"/>
    <n v="6283"/>
  </r>
  <r>
    <x v="5"/>
    <x v="13"/>
    <x v="3"/>
    <n v="6374"/>
  </r>
  <r>
    <x v="6"/>
    <x v="13"/>
    <x v="3"/>
    <n v="6572"/>
  </r>
  <r>
    <x v="7"/>
    <x v="13"/>
    <x v="3"/>
    <n v="6855"/>
  </r>
  <r>
    <x v="8"/>
    <x v="13"/>
    <x v="3"/>
    <n v="7167"/>
  </r>
  <r>
    <x v="9"/>
    <x v="13"/>
    <x v="3"/>
    <n v="7514"/>
  </r>
  <r>
    <x v="10"/>
    <x v="13"/>
    <x v="3"/>
    <n v="8149"/>
  </r>
  <r>
    <x v="11"/>
    <x v="13"/>
    <x v="3"/>
    <n v="8838"/>
  </r>
  <r>
    <x v="12"/>
    <x v="13"/>
    <x v="3"/>
    <n v="9599"/>
  </r>
  <r>
    <x v="13"/>
    <x v="13"/>
    <x v="3"/>
    <n v="10779"/>
  </r>
  <r>
    <x v="14"/>
    <x v="13"/>
    <x v="3"/>
    <n v="12148"/>
  </r>
  <r>
    <x v="15"/>
    <x v="13"/>
    <x v="3"/>
    <n v="13445"/>
  </r>
  <r>
    <x v="16"/>
    <x v="13"/>
    <x v="3"/>
    <n v="14713"/>
  </r>
  <r>
    <x v="17"/>
    <x v="13"/>
    <x v="3"/>
    <n v="15911"/>
  </r>
  <r>
    <x v="18"/>
    <x v="13"/>
    <x v="3"/>
    <n v="17109"/>
  </r>
  <r>
    <x v="19"/>
    <x v="13"/>
    <x v="3"/>
    <n v="17999"/>
  </r>
  <r>
    <x v="20"/>
    <x v="13"/>
    <x v="3"/>
    <n v="19004"/>
  </r>
  <r>
    <x v="21"/>
    <x v="13"/>
    <x v="3"/>
    <n v="20122"/>
  </r>
  <r>
    <x v="22"/>
    <x v="13"/>
    <x v="3"/>
    <n v="21326"/>
  </r>
  <r>
    <x v="0"/>
    <x v="14"/>
    <x v="4"/>
    <n v="6094"/>
  </r>
  <r>
    <x v="1"/>
    <x v="14"/>
    <x v="4"/>
    <n v="6238"/>
  </r>
  <r>
    <x v="2"/>
    <x v="14"/>
    <x v="4"/>
    <n v="6379"/>
  </r>
  <r>
    <x v="3"/>
    <x v="14"/>
    <x v="4"/>
    <n v="6567"/>
  </r>
  <r>
    <x v="4"/>
    <x v="14"/>
    <x v="4"/>
    <n v="6769"/>
  </r>
  <r>
    <x v="5"/>
    <x v="14"/>
    <x v="4"/>
    <n v="6978"/>
  </r>
  <r>
    <x v="6"/>
    <x v="14"/>
    <x v="4"/>
    <n v="7210"/>
  </r>
  <r>
    <x v="7"/>
    <x v="14"/>
    <x v="4"/>
    <n v="7455"/>
  </r>
  <r>
    <x v="8"/>
    <x v="14"/>
    <x v="4"/>
    <n v="7679"/>
  </r>
  <r>
    <x v="9"/>
    <x v="14"/>
    <x v="4"/>
    <n v="8044"/>
  </r>
  <r>
    <x v="10"/>
    <x v="14"/>
    <x v="4"/>
    <n v="8469"/>
  </r>
  <r>
    <x v="11"/>
    <x v="14"/>
    <x v="4"/>
    <n v="8734"/>
  </r>
  <r>
    <x v="12"/>
    <x v="14"/>
    <x v="4"/>
    <n v="9089"/>
  </r>
  <r>
    <x v="13"/>
    <x v="14"/>
    <x v="4"/>
    <n v="9542"/>
  </r>
  <r>
    <x v="14"/>
    <x v="14"/>
    <x v="4"/>
    <n v="10153"/>
  </r>
  <r>
    <x v="15"/>
    <x v="14"/>
    <x v="4"/>
    <n v="10402"/>
  </r>
  <r>
    <x v="16"/>
    <x v="14"/>
    <x v="4"/>
    <n v="11102"/>
  </r>
  <r>
    <x v="17"/>
    <x v="14"/>
    <x v="4"/>
    <n v="11655"/>
  </r>
  <r>
    <x v="18"/>
    <x v="14"/>
    <x v="4"/>
    <n v="12024"/>
  </r>
  <r>
    <x v="19"/>
    <x v="14"/>
    <x v="4"/>
    <n v="13703"/>
  </r>
  <r>
    <x v="20"/>
    <x v="14"/>
    <x v="4"/>
    <n v="14305"/>
  </r>
  <r>
    <x v="21"/>
    <x v="14"/>
    <x v="4"/>
    <n v="15042"/>
  </r>
  <r>
    <x v="22"/>
    <x v="14"/>
    <x v="4"/>
    <n v="16045"/>
  </r>
  <r>
    <x v="0"/>
    <x v="15"/>
    <x v="1"/>
    <n v="68"/>
  </r>
  <r>
    <x v="1"/>
    <x v="15"/>
    <x v="1"/>
    <n v="69"/>
  </r>
  <r>
    <x v="2"/>
    <x v="15"/>
    <x v="1"/>
    <n v="71"/>
  </r>
  <r>
    <x v="3"/>
    <x v="15"/>
    <x v="1"/>
    <n v="75"/>
  </r>
  <r>
    <x v="4"/>
    <x v="15"/>
    <x v="1"/>
    <n v="77"/>
  </r>
  <r>
    <x v="5"/>
    <x v="15"/>
    <x v="1"/>
    <n v="77"/>
  </r>
  <r>
    <x v="6"/>
    <x v="15"/>
    <x v="1"/>
    <n v="78"/>
  </r>
  <r>
    <x v="7"/>
    <x v="15"/>
    <x v="1"/>
    <n v="78"/>
  </r>
  <r>
    <x v="8"/>
    <x v="15"/>
    <x v="1"/>
    <n v="78"/>
  </r>
  <r>
    <x v="9"/>
    <x v="15"/>
    <x v="1"/>
    <n v="78"/>
  </r>
  <r>
    <x v="10"/>
    <x v="15"/>
    <x v="1"/>
    <n v="79"/>
  </r>
  <r>
    <x v="11"/>
    <x v="15"/>
    <x v="1"/>
    <n v="80"/>
  </r>
  <r>
    <x v="12"/>
    <x v="15"/>
    <x v="1"/>
    <n v="82"/>
  </r>
  <r>
    <x v="13"/>
    <x v="15"/>
    <x v="1"/>
    <n v="82"/>
  </r>
  <r>
    <x v="14"/>
    <x v="15"/>
    <x v="1"/>
    <n v="79"/>
  </r>
  <r>
    <x v="15"/>
    <x v="15"/>
    <x v="1"/>
    <n v="79"/>
  </r>
  <r>
    <x v="16"/>
    <x v="15"/>
    <x v="1"/>
    <n v="82"/>
  </r>
  <r>
    <x v="17"/>
    <x v="15"/>
    <x v="1"/>
    <n v="86"/>
  </r>
  <r>
    <x v="18"/>
    <x v="15"/>
    <x v="1"/>
    <n v="90"/>
  </r>
  <r>
    <x v="19"/>
    <x v="15"/>
    <x v="1"/>
    <n v="71"/>
  </r>
  <r>
    <x v="20"/>
    <x v="15"/>
    <x v="1"/>
    <n v="76"/>
  </r>
  <r>
    <x v="21"/>
    <x v="15"/>
    <x v="1"/>
    <n v="72"/>
  </r>
  <r>
    <x v="22"/>
    <x v="15"/>
    <x v="1"/>
    <n v="63"/>
  </r>
  <r>
    <x v="0"/>
    <x v="16"/>
    <x v="1"/>
    <n v="66"/>
  </r>
  <r>
    <x v="1"/>
    <x v="16"/>
    <x v="1"/>
    <n v="68"/>
  </r>
  <r>
    <x v="2"/>
    <x v="16"/>
    <x v="1"/>
    <n v="69"/>
  </r>
  <r>
    <x v="3"/>
    <x v="16"/>
    <x v="1"/>
    <n v="71"/>
  </r>
  <r>
    <x v="4"/>
    <x v="16"/>
    <x v="1"/>
    <n v="73"/>
  </r>
  <r>
    <x v="5"/>
    <x v="16"/>
    <x v="1"/>
    <n v="74"/>
  </r>
  <r>
    <x v="6"/>
    <x v="16"/>
    <x v="1"/>
    <n v="77"/>
  </r>
  <r>
    <x v="7"/>
    <x v="16"/>
    <x v="1"/>
    <n v="77"/>
  </r>
  <r>
    <x v="8"/>
    <x v="16"/>
    <x v="1"/>
    <n v="78"/>
  </r>
  <r>
    <x v="9"/>
    <x v="16"/>
    <x v="1"/>
    <n v="79"/>
  </r>
  <r>
    <x v="10"/>
    <x v="16"/>
    <x v="1"/>
    <n v="80"/>
  </r>
  <r>
    <x v="11"/>
    <x v="16"/>
    <x v="1"/>
    <n v="81"/>
  </r>
  <r>
    <x v="12"/>
    <x v="16"/>
    <x v="1"/>
    <n v="82"/>
  </r>
  <r>
    <x v="13"/>
    <x v="16"/>
    <x v="1"/>
    <n v="83"/>
  </r>
  <r>
    <x v="14"/>
    <x v="16"/>
    <x v="1"/>
    <n v="84"/>
  </r>
  <r>
    <x v="15"/>
    <x v="16"/>
    <x v="1"/>
    <n v="84"/>
  </r>
  <r>
    <x v="16"/>
    <x v="16"/>
    <x v="1"/>
    <n v="85"/>
  </r>
  <r>
    <x v="17"/>
    <x v="16"/>
    <x v="1"/>
    <n v="87"/>
  </r>
  <r>
    <x v="18"/>
    <x v="16"/>
    <x v="1"/>
    <n v="88"/>
  </r>
  <r>
    <x v="19"/>
    <x v="16"/>
    <x v="1"/>
    <n v="89"/>
  </r>
  <r>
    <x v="20"/>
    <x v="16"/>
    <x v="1"/>
    <n v="90"/>
  </r>
  <r>
    <x v="21"/>
    <x v="16"/>
    <x v="1"/>
    <n v="94"/>
  </r>
  <r>
    <x v="22"/>
    <x v="16"/>
    <x v="1"/>
    <n v="97"/>
  </r>
  <r>
    <x v="0"/>
    <x v="17"/>
    <x v="1"/>
    <n v="14"/>
  </r>
  <r>
    <x v="1"/>
    <x v="17"/>
    <x v="1"/>
    <n v="15"/>
  </r>
  <r>
    <x v="2"/>
    <x v="17"/>
    <x v="1"/>
    <n v="15"/>
  </r>
  <r>
    <x v="3"/>
    <x v="17"/>
    <x v="1"/>
    <n v="16"/>
  </r>
  <r>
    <x v="4"/>
    <x v="17"/>
    <x v="1"/>
    <n v="15"/>
  </r>
  <r>
    <x v="5"/>
    <x v="17"/>
    <x v="1"/>
    <n v="16"/>
  </r>
  <r>
    <x v="6"/>
    <x v="17"/>
    <x v="1"/>
    <n v="17"/>
  </r>
  <r>
    <x v="7"/>
    <x v="17"/>
    <x v="1"/>
    <n v="17"/>
  </r>
  <r>
    <x v="8"/>
    <x v="17"/>
    <x v="1"/>
    <n v="11"/>
  </r>
  <r>
    <x v="9"/>
    <x v="17"/>
    <x v="1"/>
    <n v="11"/>
  </r>
  <r>
    <x v="10"/>
    <x v="17"/>
    <x v="1"/>
    <n v="14"/>
  </r>
  <r>
    <x v="11"/>
    <x v="17"/>
    <x v="1"/>
    <n v="14"/>
  </r>
  <r>
    <x v="12"/>
    <x v="17"/>
    <x v="1"/>
    <n v="15"/>
  </r>
  <r>
    <x v="13"/>
    <x v="17"/>
    <x v="1"/>
    <n v="20"/>
  </r>
  <r>
    <x v="14"/>
    <x v="17"/>
    <x v="1"/>
    <n v="22"/>
  </r>
  <r>
    <x v="15"/>
    <x v="17"/>
    <x v="1"/>
    <n v="24"/>
  </r>
  <r>
    <x v="16"/>
    <x v="17"/>
    <x v="1"/>
    <n v="25"/>
  </r>
  <r>
    <x v="17"/>
    <x v="17"/>
    <x v="1"/>
    <n v="26"/>
  </r>
  <r>
    <x v="18"/>
    <x v="17"/>
    <x v="1"/>
    <n v="24"/>
  </r>
  <r>
    <x v="19"/>
    <x v="17"/>
    <x v="1"/>
    <n v="25"/>
  </r>
  <r>
    <x v="20"/>
    <x v="17"/>
    <x v="1"/>
    <n v="24.8"/>
  </r>
  <r>
    <x v="0"/>
    <x v="18"/>
    <x v="1"/>
    <n v="57"/>
  </r>
  <r>
    <x v="1"/>
    <x v="18"/>
    <x v="1"/>
    <n v="58"/>
  </r>
  <r>
    <x v="2"/>
    <x v="18"/>
    <x v="1"/>
    <n v="63"/>
  </r>
  <r>
    <x v="3"/>
    <x v="18"/>
    <x v="1"/>
    <n v="69"/>
  </r>
  <r>
    <x v="4"/>
    <x v="18"/>
    <x v="1"/>
    <n v="74"/>
  </r>
  <r>
    <x v="5"/>
    <x v="18"/>
    <x v="1"/>
    <n v="67"/>
  </r>
  <r>
    <x v="6"/>
    <x v="18"/>
    <x v="1"/>
    <n v="45"/>
  </r>
  <r>
    <x v="7"/>
    <x v="18"/>
    <x v="1"/>
    <n v="53"/>
  </r>
  <r>
    <x v="8"/>
    <x v="18"/>
    <x v="1"/>
    <n v="78"/>
  </r>
  <r>
    <x v="9"/>
    <x v="18"/>
    <x v="1"/>
    <n v="76"/>
  </r>
  <r>
    <x v="10"/>
    <x v="18"/>
    <x v="1"/>
    <n v="78"/>
  </r>
  <r>
    <x v="11"/>
    <x v="18"/>
    <x v="1"/>
    <n v="79"/>
  </r>
  <r>
    <x v="12"/>
    <x v="18"/>
    <x v="1"/>
    <n v="81"/>
  </r>
  <r>
    <x v="13"/>
    <x v="18"/>
    <x v="1"/>
    <n v="76"/>
  </r>
  <r>
    <x v="14"/>
    <x v="18"/>
    <x v="1"/>
    <n v="77"/>
  </r>
  <r>
    <x v="15"/>
    <x v="18"/>
    <x v="1"/>
    <n v="79"/>
  </r>
  <r>
    <x v="16"/>
    <x v="18"/>
    <x v="1"/>
    <n v="74"/>
  </r>
  <r>
    <x v="17"/>
    <x v="18"/>
    <x v="1"/>
    <n v="73"/>
  </r>
  <r>
    <x v="18"/>
    <x v="18"/>
    <x v="1"/>
    <n v="62"/>
  </r>
  <r>
    <x v="19"/>
    <x v="18"/>
    <x v="1"/>
    <n v="56"/>
  </r>
  <r>
    <x v="20"/>
    <x v="18"/>
    <x v="1"/>
    <n v="61"/>
  </r>
  <r>
    <x v="21"/>
    <x v="18"/>
    <x v="1"/>
    <n v="50"/>
  </r>
  <r>
    <x v="22"/>
    <x v="18"/>
    <x v="1"/>
    <n v="53"/>
  </r>
  <r>
    <x v="0"/>
    <x v="19"/>
    <x v="2"/>
    <n v="929"/>
  </r>
  <r>
    <x v="1"/>
    <x v="19"/>
    <x v="2"/>
    <n v="941"/>
  </r>
  <r>
    <x v="2"/>
    <x v="19"/>
    <x v="2"/>
    <n v="997"/>
  </r>
  <r>
    <x v="3"/>
    <x v="19"/>
    <x v="2"/>
    <n v="1283"/>
  </r>
  <r>
    <x v="4"/>
    <x v="19"/>
    <x v="2"/>
    <n v="1342"/>
  </r>
  <r>
    <x v="5"/>
    <x v="19"/>
    <x v="2"/>
    <n v="1431"/>
  </r>
  <r>
    <x v="6"/>
    <x v="19"/>
    <x v="2"/>
    <n v="1625"/>
  </r>
  <r>
    <x v="7"/>
    <x v="19"/>
    <x v="2"/>
    <n v="1598"/>
  </r>
  <r>
    <x v="8"/>
    <x v="19"/>
    <x v="2"/>
    <n v="1651"/>
  </r>
  <r>
    <x v="9"/>
    <x v="19"/>
    <x v="2"/>
    <n v="1671"/>
  </r>
  <r>
    <x v="10"/>
    <x v="19"/>
    <x v="2"/>
    <n v="1721"/>
  </r>
  <r>
    <x v="11"/>
    <x v="19"/>
    <x v="2"/>
    <n v="1724"/>
  </r>
  <r>
    <x v="12"/>
    <x v="19"/>
    <x v="2"/>
    <n v="1861"/>
  </r>
  <r>
    <x v="13"/>
    <x v="19"/>
    <x v="2"/>
    <n v="1903"/>
  </r>
  <r>
    <x v="14"/>
    <x v="19"/>
    <x v="2"/>
    <n v="1930"/>
  </r>
  <r>
    <x v="15"/>
    <x v="19"/>
    <x v="2"/>
    <n v="2003"/>
  </r>
  <r>
    <x v="16"/>
    <x v="19"/>
    <x v="2"/>
    <n v="2088"/>
  </r>
  <r>
    <x v="17"/>
    <x v="19"/>
    <x v="2"/>
    <n v="2311"/>
  </r>
  <r>
    <x v="18"/>
    <x v="19"/>
    <x v="2"/>
    <n v="2370"/>
  </r>
  <r>
    <x v="19"/>
    <x v="19"/>
    <x v="2"/>
    <n v="2373"/>
  </r>
  <r>
    <x v="20"/>
    <x v="19"/>
    <x v="2"/>
    <n v="2402"/>
  </r>
  <r>
    <x v="21"/>
    <x v="19"/>
    <x v="2"/>
    <n v="2476"/>
  </r>
  <r>
    <x v="22"/>
    <x v="19"/>
    <x v="2"/>
    <n v="2636"/>
  </r>
  <r>
    <x v="0"/>
    <x v="20"/>
    <x v="5"/>
    <n v="7731"/>
  </r>
  <r>
    <x v="1"/>
    <x v="20"/>
    <x v="5"/>
    <n v="7855"/>
  </r>
  <r>
    <x v="2"/>
    <x v="20"/>
    <x v="5"/>
    <n v="7948"/>
  </r>
  <r>
    <x v="3"/>
    <x v="20"/>
    <x v="5"/>
    <n v="8012"/>
  </r>
  <r>
    <x v="4"/>
    <x v="20"/>
    <x v="5"/>
    <n v="8071"/>
  </r>
  <r>
    <x v="5"/>
    <x v="20"/>
    <x v="5"/>
    <n v="8125"/>
  </r>
  <r>
    <x v="6"/>
    <x v="20"/>
    <x v="5"/>
    <n v="8179"/>
  </r>
  <r>
    <x v="7"/>
    <x v="20"/>
    <x v="5"/>
    <n v="8232"/>
  </r>
  <r>
    <x v="8"/>
    <x v="20"/>
    <x v="5"/>
    <n v="8285"/>
  </r>
  <r>
    <x v="9"/>
    <x v="20"/>
    <x v="5"/>
    <n v="8338"/>
  </r>
  <r>
    <x v="10"/>
    <x v="20"/>
    <x v="5"/>
    <n v="8391"/>
  </r>
  <r>
    <x v="11"/>
    <x v="20"/>
    <x v="5"/>
    <n v="8444"/>
  </r>
  <r>
    <x v="12"/>
    <x v="20"/>
    <x v="5"/>
    <n v="8497"/>
  </r>
  <r>
    <x v="13"/>
    <x v="20"/>
    <x v="5"/>
    <n v="8550"/>
  </r>
  <r>
    <x v="14"/>
    <x v="20"/>
    <x v="5"/>
    <n v="8603"/>
  </r>
  <r>
    <x v="15"/>
    <x v="20"/>
    <x v="5"/>
    <n v="8656"/>
  </r>
  <r>
    <x v="16"/>
    <x v="20"/>
    <x v="5"/>
    <n v="8709"/>
  </r>
  <r>
    <x v="17"/>
    <x v="20"/>
    <x v="5"/>
    <n v="8762"/>
  </r>
  <r>
    <x v="18"/>
    <x v="20"/>
    <x v="5"/>
    <n v="8815"/>
  </r>
  <r>
    <x v="19"/>
    <x v="20"/>
    <x v="5"/>
    <n v="8868"/>
  </r>
  <r>
    <x v="20"/>
    <x v="20"/>
    <x v="5"/>
    <n v="8921"/>
  </r>
  <r>
    <x v="21"/>
    <x v="20"/>
    <x v="5"/>
    <n v="8974"/>
  </r>
  <r>
    <x v="22"/>
    <x v="20"/>
    <x v="5"/>
    <n v="9027"/>
  </r>
  <r>
    <x v="0"/>
    <x v="21"/>
    <x v="5"/>
    <n v="4652"/>
  </r>
  <r>
    <x v="1"/>
    <x v="21"/>
    <x v="5"/>
    <n v="4760"/>
  </r>
  <r>
    <x v="2"/>
    <x v="21"/>
    <x v="5"/>
    <n v="4868"/>
  </r>
  <r>
    <x v="3"/>
    <x v="21"/>
    <x v="5"/>
    <n v="4976"/>
  </r>
  <r>
    <x v="4"/>
    <x v="21"/>
    <x v="5"/>
    <n v="5084"/>
  </r>
  <r>
    <x v="5"/>
    <x v="21"/>
    <x v="5"/>
    <n v="5192"/>
  </r>
  <r>
    <x v="6"/>
    <x v="21"/>
    <x v="5"/>
    <n v="5300"/>
  </r>
  <r>
    <x v="7"/>
    <x v="21"/>
    <x v="5"/>
    <n v="5408"/>
  </r>
  <r>
    <x v="8"/>
    <x v="21"/>
    <x v="5"/>
    <n v="5516"/>
  </r>
  <r>
    <x v="9"/>
    <x v="21"/>
    <x v="5"/>
    <n v="5624"/>
  </r>
  <r>
    <x v="10"/>
    <x v="21"/>
    <x v="5"/>
    <n v="5732"/>
  </r>
  <r>
    <x v="11"/>
    <x v="21"/>
    <x v="5"/>
    <n v="5840"/>
  </r>
  <r>
    <x v="12"/>
    <x v="21"/>
    <x v="5"/>
    <n v="5948"/>
  </r>
  <r>
    <x v="13"/>
    <x v="21"/>
    <x v="5"/>
    <n v="6056"/>
  </r>
  <r>
    <x v="14"/>
    <x v="21"/>
    <x v="5"/>
    <n v="6164"/>
  </r>
  <r>
    <x v="15"/>
    <x v="21"/>
    <x v="5"/>
    <n v="6272"/>
  </r>
  <r>
    <x v="16"/>
    <x v="21"/>
    <x v="5"/>
    <n v="6380"/>
  </r>
  <r>
    <x v="17"/>
    <x v="21"/>
    <x v="5"/>
    <n v="6488"/>
  </r>
  <r>
    <x v="18"/>
    <x v="21"/>
    <x v="5"/>
    <n v="6596"/>
  </r>
  <r>
    <x v="19"/>
    <x v="21"/>
    <x v="5"/>
    <n v="6704"/>
  </r>
  <r>
    <x v="20"/>
    <x v="21"/>
    <x v="5"/>
    <n v="6812"/>
  </r>
  <r>
    <x v="21"/>
    <x v="21"/>
    <x v="5"/>
    <n v="6920"/>
  </r>
  <r>
    <x v="22"/>
    <x v="21"/>
    <x v="5"/>
    <n v="7028"/>
  </r>
  <r>
    <x v="0"/>
    <x v="22"/>
    <x v="1"/>
    <n v="23"/>
  </r>
  <r>
    <x v="1"/>
    <x v="22"/>
    <x v="1"/>
    <n v="24"/>
  </r>
  <r>
    <x v="2"/>
    <x v="22"/>
    <x v="1"/>
    <n v="24"/>
  </r>
  <r>
    <x v="3"/>
    <x v="22"/>
    <x v="1"/>
    <n v="25"/>
  </r>
  <r>
    <x v="4"/>
    <x v="22"/>
    <x v="1"/>
    <n v="25"/>
  </r>
  <r>
    <x v="5"/>
    <x v="22"/>
    <x v="1"/>
    <n v="25"/>
  </r>
  <r>
    <x v="6"/>
    <x v="22"/>
    <x v="1"/>
    <n v="26"/>
  </r>
  <r>
    <x v="7"/>
    <x v="22"/>
    <x v="1"/>
    <n v="26"/>
  </r>
  <r>
    <x v="8"/>
    <x v="22"/>
    <x v="1"/>
    <n v="26"/>
  </r>
  <r>
    <x v="9"/>
    <x v="22"/>
    <x v="1"/>
    <n v="26"/>
  </r>
  <r>
    <x v="10"/>
    <x v="22"/>
    <x v="1"/>
    <n v="27"/>
  </r>
  <r>
    <x v="11"/>
    <x v="22"/>
    <x v="1"/>
    <n v="27"/>
  </r>
  <r>
    <x v="12"/>
    <x v="22"/>
    <x v="1"/>
    <n v="28"/>
  </r>
  <r>
    <x v="13"/>
    <x v="22"/>
    <x v="1"/>
    <n v="28"/>
  </r>
  <r>
    <x v="14"/>
    <x v="22"/>
    <x v="1"/>
    <n v="29"/>
  </r>
  <r>
    <x v="15"/>
    <x v="22"/>
    <x v="1"/>
    <n v="29"/>
  </r>
  <r>
    <x v="16"/>
    <x v="22"/>
    <x v="1"/>
    <n v="30"/>
  </r>
  <r>
    <x v="17"/>
    <x v="22"/>
    <x v="1"/>
    <n v="31"/>
  </r>
  <r>
    <x v="18"/>
    <x v="22"/>
    <x v="1"/>
    <n v="32"/>
  </r>
  <r>
    <x v="19"/>
    <x v="22"/>
    <x v="1"/>
    <n v="33"/>
  </r>
  <r>
    <x v="20"/>
    <x v="22"/>
    <x v="1"/>
    <n v="34"/>
  </r>
  <r>
    <x v="21"/>
    <x v="22"/>
    <x v="1"/>
    <n v="35"/>
  </r>
  <r>
    <x v="22"/>
    <x v="22"/>
    <x v="1"/>
    <n v="36"/>
  </r>
  <r>
    <x v="0"/>
    <x v="23"/>
    <x v="0"/>
    <n v="4972"/>
  </r>
  <r>
    <x v="1"/>
    <x v="23"/>
    <x v="0"/>
    <n v="5107"/>
  </r>
  <r>
    <x v="2"/>
    <x v="23"/>
    <x v="0"/>
    <n v="5239"/>
  </r>
  <r>
    <x v="3"/>
    <x v="23"/>
    <x v="0"/>
    <n v="5370"/>
  </r>
  <r>
    <x v="4"/>
    <x v="23"/>
    <x v="0"/>
    <n v="5500"/>
  </r>
  <r>
    <x v="5"/>
    <x v="23"/>
    <x v="0"/>
    <n v="5630"/>
  </r>
  <r>
    <x v="6"/>
    <x v="23"/>
    <x v="0"/>
    <n v="5760"/>
  </r>
  <r>
    <x v="7"/>
    <x v="23"/>
    <x v="0"/>
    <n v="5890"/>
  </r>
  <r>
    <x v="8"/>
    <x v="23"/>
    <x v="0"/>
    <n v="6020"/>
  </r>
  <r>
    <x v="9"/>
    <x v="23"/>
    <x v="0"/>
    <n v="6150"/>
  </r>
  <r>
    <x v="10"/>
    <x v="23"/>
    <x v="0"/>
    <n v="6280"/>
  </r>
  <r>
    <x v="11"/>
    <x v="23"/>
    <x v="0"/>
    <n v="6410"/>
  </r>
  <r>
    <x v="12"/>
    <x v="23"/>
    <x v="0"/>
    <n v="6540"/>
  </r>
  <r>
    <x v="13"/>
    <x v="23"/>
    <x v="0"/>
    <n v="6670"/>
  </r>
  <r>
    <x v="14"/>
    <x v="23"/>
    <x v="0"/>
    <n v="6800"/>
  </r>
  <r>
    <x v="15"/>
    <x v="23"/>
    <x v="0"/>
    <n v="6930"/>
  </r>
  <r>
    <x v="16"/>
    <x v="23"/>
    <x v="0"/>
    <n v="7060"/>
  </r>
  <r>
    <x v="17"/>
    <x v="23"/>
    <x v="0"/>
    <n v="7190"/>
  </r>
  <r>
    <x v="18"/>
    <x v="23"/>
    <x v="0"/>
    <n v="7320"/>
  </r>
  <r>
    <x v="19"/>
    <x v="23"/>
    <x v="0"/>
    <n v="7450"/>
  </r>
  <r>
    <x v="20"/>
    <x v="23"/>
    <x v="0"/>
    <n v="7580"/>
  </r>
  <r>
    <x v="21"/>
    <x v="23"/>
    <x v="0"/>
    <n v="7710"/>
  </r>
  <r>
    <x v="22"/>
    <x v="23"/>
    <x v="0"/>
    <n v="7840"/>
  </r>
  <r>
    <x v="0"/>
    <x v="24"/>
    <x v="0"/>
    <n v="4219"/>
  </r>
  <r>
    <x v="1"/>
    <x v="24"/>
    <x v="0"/>
    <n v="4530"/>
  </r>
  <r>
    <x v="2"/>
    <x v="24"/>
    <x v="0"/>
    <n v="4799"/>
  </r>
  <r>
    <x v="3"/>
    <x v="24"/>
    <x v="0"/>
    <n v="5047"/>
  </r>
  <r>
    <x v="4"/>
    <x v="24"/>
    <x v="0"/>
    <n v="5290"/>
  </r>
  <r>
    <x v="5"/>
    <x v="24"/>
    <x v="0"/>
    <n v="5564"/>
  </r>
  <r>
    <x v="6"/>
    <x v="24"/>
    <x v="0"/>
    <n v="5823"/>
  </r>
  <r>
    <x v="7"/>
    <x v="24"/>
    <x v="0"/>
    <n v="6047"/>
  </r>
  <r>
    <x v="8"/>
    <x v="24"/>
    <x v="0"/>
    <n v="6350"/>
  </r>
  <r>
    <x v="9"/>
    <x v="24"/>
    <x v="0"/>
    <n v="6596"/>
  </r>
  <r>
    <x v="10"/>
    <x v="24"/>
    <x v="0"/>
    <n v="6847"/>
  </r>
  <r>
    <x v="11"/>
    <x v="24"/>
    <x v="0"/>
    <n v="7072"/>
  </r>
  <r>
    <x v="12"/>
    <x v="24"/>
    <x v="0"/>
    <n v="7312"/>
  </r>
  <r>
    <x v="13"/>
    <x v="24"/>
    <x v="0"/>
    <n v="7558"/>
  </r>
  <r>
    <x v="14"/>
    <x v="24"/>
    <x v="0"/>
    <n v="7809"/>
  </r>
  <r>
    <x v="15"/>
    <x v="24"/>
    <x v="0"/>
    <n v="8065"/>
  </r>
  <r>
    <x v="16"/>
    <x v="24"/>
    <x v="0"/>
    <n v="8326"/>
  </r>
  <r>
    <x v="17"/>
    <x v="24"/>
    <x v="0"/>
    <n v="8592"/>
  </r>
  <r>
    <x v="18"/>
    <x v="24"/>
    <x v="0"/>
    <n v="8863"/>
  </r>
  <r>
    <x v="19"/>
    <x v="24"/>
    <x v="0"/>
    <n v="9139"/>
  </r>
  <r>
    <x v="20"/>
    <x v="24"/>
    <x v="0"/>
    <n v="9420"/>
  </r>
  <r>
    <x v="21"/>
    <x v="24"/>
    <x v="0"/>
    <n v="9706"/>
  </r>
  <r>
    <x v="22"/>
    <x v="24"/>
    <x v="0"/>
    <n v="9997"/>
  </r>
  <r>
    <x v="0"/>
    <x v="25"/>
    <x v="1"/>
    <n v="163"/>
  </r>
  <r>
    <x v="1"/>
    <x v="25"/>
    <x v="1"/>
    <n v="168"/>
  </r>
  <r>
    <x v="2"/>
    <x v="25"/>
    <x v="1"/>
    <n v="173"/>
  </r>
  <r>
    <x v="3"/>
    <x v="25"/>
    <x v="1"/>
    <n v="178"/>
  </r>
  <r>
    <x v="4"/>
    <x v="25"/>
    <x v="1"/>
    <n v="183"/>
  </r>
  <r>
    <x v="5"/>
    <x v="25"/>
    <x v="1"/>
    <n v="188"/>
  </r>
  <r>
    <x v="6"/>
    <x v="25"/>
    <x v="1"/>
    <n v="193"/>
  </r>
  <r>
    <x v="7"/>
    <x v="25"/>
    <x v="1"/>
    <n v="198"/>
  </r>
  <r>
    <x v="8"/>
    <x v="25"/>
    <x v="1"/>
    <n v="203"/>
  </r>
  <r>
    <x v="9"/>
    <x v="25"/>
    <x v="1"/>
    <n v="208"/>
  </r>
  <r>
    <x v="10"/>
    <x v="25"/>
    <x v="1"/>
    <n v="213"/>
  </r>
  <r>
    <x v="11"/>
    <x v="25"/>
    <x v="1"/>
    <n v="218"/>
  </r>
  <r>
    <x v="12"/>
    <x v="25"/>
    <x v="1"/>
    <n v="223"/>
  </r>
  <r>
    <x v="13"/>
    <x v="25"/>
    <x v="1"/>
    <n v="228"/>
  </r>
  <r>
    <x v="14"/>
    <x v="25"/>
    <x v="1"/>
    <n v="233"/>
  </r>
  <r>
    <x v="15"/>
    <x v="25"/>
    <x v="1"/>
    <n v="238"/>
  </r>
  <r>
    <x v="16"/>
    <x v="25"/>
    <x v="1"/>
    <n v="243"/>
  </r>
  <r>
    <x v="17"/>
    <x v="25"/>
    <x v="1"/>
    <n v="248"/>
  </r>
  <r>
    <x v="18"/>
    <x v="25"/>
    <x v="1"/>
    <n v="253"/>
  </r>
  <r>
    <x v="19"/>
    <x v="25"/>
    <x v="1"/>
    <n v="258"/>
  </r>
  <r>
    <x v="20"/>
    <x v="25"/>
    <x v="1"/>
    <n v="263"/>
  </r>
  <r>
    <x v="21"/>
    <x v="25"/>
    <x v="1"/>
    <n v="268"/>
  </r>
  <r>
    <x v="22"/>
    <x v="25"/>
    <x v="1"/>
    <n v="273"/>
  </r>
  <r>
    <x v="0"/>
    <x v="26"/>
    <x v="5"/>
    <n v="14765"/>
  </r>
  <r>
    <x v="1"/>
    <x v="26"/>
    <x v="5"/>
    <n v="15258"/>
  </r>
  <r>
    <x v="2"/>
    <x v="26"/>
    <x v="5"/>
    <n v="15751"/>
  </r>
  <r>
    <x v="3"/>
    <x v="26"/>
    <x v="5"/>
    <n v="16244"/>
  </r>
  <r>
    <x v="4"/>
    <x v="26"/>
    <x v="5"/>
    <n v="16737"/>
  </r>
  <r>
    <x v="5"/>
    <x v="26"/>
    <x v="5"/>
    <n v="17230"/>
  </r>
  <r>
    <x v="6"/>
    <x v="26"/>
    <x v="5"/>
    <n v="17723"/>
  </r>
  <r>
    <x v="7"/>
    <x v="26"/>
    <x v="5"/>
    <n v="18216"/>
  </r>
  <r>
    <x v="8"/>
    <x v="26"/>
    <x v="5"/>
    <n v="18709"/>
  </r>
  <r>
    <x v="9"/>
    <x v="26"/>
    <x v="5"/>
    <n v="19202"/>
  </r>
  <r>
    <x v="10"/>
    <x v="26"/>
    <x v="5"/>
    <n v="19695"/>
  </r>
  <r>
    <x v="11"/>
    <x v="26"/>
    <x v="5"/>
    <n v="20188"/>
  </r>
  <r>
    <x v="12"/>
    <x v="26"/>
    <x v="5"/>
    <n v="20681"/>
  </r>
  <r>
    <x v="13"/>
    <x v="26"/>
    <x v="5"/>
    <n v="21174"/>
  </r>
  <r>
    <x v="14"/>
    <x v="26"/>
    <x v="5"/>
    <n v="21667"/>
  </r>
  <r>
    <x v="15"/>
    <x v="26"/>
    <x v="5"/>
    <n v="22160"/>
  </r>
  <r>
    <x v="16"/>
    <x v="26"/>
    <x v="5"/>
    <n v="22653"/>
  </r>
  <r>
    <x v="17"/>
    <x v="26"/>
    <x v="5"/>
    <n v="23146"/>
  </r>
  <r>
    <x v="18"/>
    <x v="26"/>
    <x v="5"/>
    <n v="23639"/>
  </r>
  <r>
    <x v="19"/>
    <x v="26"/>
    <x v="5"/>
    <n v="24132"/>
  </r>
  <r>
    <x v="20"/>
    <x v="26"/>
    <x v="5"/>
    <n v="24625"/>
  </r>
  <r>
    <x v="21"/>
    <x v="26"/>
    <x v="5"/>
    <n v="25118"/>
  </r>
  <r>
    <x v="22"/>
    <x v="26"/>
    <x v="5"/>
    <n v="25611"/>
  </r>
  <r>
    <x v="0"/>
    <x v="27"/>
    <x v="5"/>
    <n v="1215"/>
  </r>
  <r>
    <x v="1"/>
    <x v="27"/>
    <x v="5"/>
    <n v="1245"/>
  </r>
  <r>
    <x v="2"/>
    <x v="27"/>
    <x v="5"/>
    <n v="1275"/>
  </r>
  <r>
    <x v="3"/>
    <x v="27"/>
    <x v="5"/>
    <n v="1305"/>
  </r>
  <r>
    <x v="4"/>
    <x v="27"/>
    <x v="5"/>
    <n v="1335"/>
  </r>
  <r>
    <x v="5"/>
    <x v="27"/>
    <x v="5"/>
    <n v="1365"/>
  </r>
  <r>
    <x v="6"/>
    <x v="27"/>
    <x v="5"/>
    <n v="1395"/>
  </r>
  <r>
    <x v="7"/>
    <x v="27"/>
    <x v="5"/>
    <n v="1425"/>
  </r>
  <r>
    <x v="8"/>
    <x v="27"/>
    <x v="5"/>
    <n v="1455"/>
  </r>
  <r>
    <x v="9"/>
    <x v="27"/>
    <x v="5"/>
    <n v="1485"/>
  </r>
  <r>
    <x v="10"/>
    <x v="27"/>
    <x v="5"/>
    <n v="1515"/>
  </r>
  <r>
    <x v="11"/>
    <x v="27"/>
    <x v="5"/>
    <n v="1545"/>
  </r>
  <r>
    <x v="12"/>
    <x v="27"/>
    <x v="5"/>
    <n v="1575"/>
  </r>
  <r>
    <x v="13"/>
    <x v="27"/>
    <x v="5"/>
    <n v="1605"/>
  </r>
  <r>
    <x v="14"/>
    <x v="27"/>
    <x v="5"/>
    <n v="1635"/>
  </r>
  <r>
    <x v="15"/>
    <x v="27"/>
    <x v="5"/>
    <n v="1665"/>
  </r>
  <r>
    <x v="16"/>
    <x v="27"/>
    <x v="5"/>
    <n v="1695"/>
  </r>
  <r>
    <x v="17"/>
    <x v="27"/>
    <x v="5"/>
    <n v="1725"/>
  </r>
  <r>
    <x v="18"/>
    <x v="27"/>
    <x v="5"/>
    <n v="1755"/>
  </r>
  <r>
    <x v="19"/>
    <x v="27"/>
    <x v="5"/>
    <n v="1785"/>
  </r>
  <r>
    <x v="20"/>
    <x v="27"/>
    <x v="5"/>
    <n v="1815"/>
  </r>
  <r>
    <x v="21"/>
    <x v="27"/>
    <x v="5"/>
    <n v="1845"/>
  </r>
  <r>
    <x v="22"/>
    <x v="27"/>
    <x v="5"/>
    <n v="1875"/>
  </r>
  <r>
    <x v="0"/>
    <x v="28"/>
    <x v="2"/>
    <n v="4931"/>
  </r>
  <r>
    <x v="1"/>
    <x v="28"/>
    <x v="2"/>
    <n v="5082"/>
  </r>
  <r>
    <x v="2"/>
    <x v="28"/>
    <x v="2"/>
    <n v="5233"/>
  </r>
  <r>
    <x v="3"/>
    <x v="28"/>
    <x v="2"/>
    <n v="5384"/>
  </r>
  <r>
    <x v="4"/>
    <x v="28"/>
    <x v="2"/>
    <n v="5535"/>
  </r>
  <r>
    <x v="5"/>
    <x v="28"/>
    <x v="2"/>
    <n v="5686"/>
  </r>
  <r>
    <x v="6"/>
    <x v="28"/>
    <x v="2"/>
    <n v="5837"/>
  </r>
  <r>
    <x v="7"/>
    <x v="28"/>
    <x v="2"/>
    <n v="5988"/>
  </r>
  <r>
    <x v="8"/>
    <x v="28"/>
    <x v="2"/>
    <n v="6139"/>
  </r>
  <r>
    <x v="9"/>
    <x v="28"/>
    <x v="2"/>
    <n v="6290"/>
  </r>
  <r>
    <x v="10"/>
    <x v="28"/>
    <x v="2"/>
    <n v="6441"/>
  </r>
  <r>
    <x v="11"/>
    <x v="28"/>
    <x v="2"/>
    <n v="6592"/>
  </r>
  <r>
    <x v="12"/>
    <x v="28"/>
    <x v="2"/>
    <n v="6743"/>
  </r>
  <r>
    <x v="13"/>
    <x v="28"/>
    <x v="2"/>
    <n v="6894"/>
  </r>
  <r>
    <x v="14"/>
    <x v="28"/>
    <x v="2"/>
    <n v="7045"/>
  </r>
  <r>
    <x v="15"/>
    <x v="28"/>
    <x v="2"/>
    <n v="7196"/>
  </r>
  <r>
    <x v="16"/>
    <x v="28"/>
    <x v="2"/>
    <n v="7347"/>
  </r>
  <r>
    <x v="17"/>
    <x v="28"/>
    <x v="2"/>
    <n v="7498"/>
  </r>
  <r>
    <x v="18"/>
    <x v="28"/>
    <x v="2"/>
    <n v="7649"/>
  </r>
  <r>
    <x v="19"/>
    <x v="28"/>
    <x v="2"/>
    <n v="7800"/>
  </r>
  <r>
    <x v="20"/>
    <x v="28"/>
    <x v="2"/>
    <n v="7951"/>
  </r>
  <r>
    <x v="21"/>
    <x v="28"/>
    <x v="2"/>
    <n v="8102"/>
  </r>
  <r>
    <x v="22"/>
    <x v="28"/>
    <x v="2"/>
    <n v="8253"/>
  </r>
  <r>
    <x v="0"/>
    <x v="29"/>
    <x v="5"/>
    <n v="427"/>
  </r>
  <r>
    <x v="1"/>
    <x v="29"/>
    <x v="5"/>
    <n v="441"/>
  </r>
  <r>
    <x v="2"/>
    <x v="29"/>
    <x v="5"/>
    <n v="455"/>
  </r>
  <r>
    <x v="3"/>
    <x v="29"/>
    <x v="5"/>
    <n v="469"/>
  </r>
  <r>
    <x v="4"/>
    <x v="29"/>
    <x v="5"/>
    <n v="483"/>
  </r>
  <r>
    <x v="5"/>
    <x v="29"/>
    <x v="5"/>
    <n v="497"/>
  </r>
  <r>
    <x v="6"/>
    <x v="29"/>
    <x v="5"/>
    <n v="511"/>
  </r>
  <r>
    <x v="7"/>
    <x v="29"/>
    <x v="5"/>
    <n v="525"/>
  </r>
  <r>
    <x v="8"/>
    <x v="29"/>
    <x v="5"/>
    <n v="539"/>
  </r>
  <r>
    <x v="9"/>
    <x v="29"/>
    <x v="5"/>
    <n v="553"/>
  </r>
  <r>
    <x v="10"/>
    <x v="29"/>
    <x v="5"/>
    <n v="567"/>
  </r>
  <r>
    <x v="11"/>
    <x v="29"/>
    <x v="5"/>
    <n v="581"/>
  </r>
  <r>
    <x v="12"/>
    <x v="29"/>
    <x v="5"/>
    <n v="595"/>
  </r>
  <r>
    <x v="13"/>
    <x v="29"/>
    <x v="5"/>
    <n v="609"/>
  </r>
  <r>
    <x v="14"/>
    <x v="29"/>
    <x v="5"/>
    <n v="623"/>
  </r>
  <r>
    <x v="15"/>
    <x v="29"/>
    <x v="5"/>
    <n v="637"/>
  </r>
  <r>
    <x v="16"/>
    <x v="29"/>
    <x v="5"/>
    <n v="651"/>
  </r>
  <r>
    <x v="17"/>
    <x v="29"/>
    <x v="5"/>
    <n v="665"/>
  </r>
  <r>
    <x v="18"/>
    <x v="29"/>
    <x v="5"/>
    <n v="679"/>
  </r>
  <r>
    <x v="19"/>
    <x v="29"/>
    <x v="5"/>
    <n v="693"/>
  </r>
  <r>
    <x v="20"/>
    <x v="29"/>
    <x v="5"/>
    <n v="707"/>
  </r>
  <r>
    <x v="21"/>
    <x v="29"/>
    <x v="5"/>
    <n v="721"/>
  </r>
  <r>
    <x v="22"/>
    <x v="29"/>
    <x v="5"/>
    <n v="7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Growth Rat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J1:K9" firstHeaderRow="1" firstDataRow="1" firstDataCol="1"/>
  <pivotFields count="27">
    <pivotField axis="axisRow" showAll="0" measureFilter="1" sortType="descending">
      <items count="39">
        <item x="29"/>
        <item x="37"/>
        <item x="0"/>
        <item x="1"/>
        <item x="2"/>
        <item x="3"/>
        <item x="30"/>
        <item x="4"/>
        <item x="32"/>
        <item x="33"/>
        <item x="34"/>
        <item x="5"/>
        <item x="6"/>
        <item x="7"/>
        <item x="8"/>
        <item x="9"/>
        <item x="10"/>
        <item x="11"/>
        <item x="12"/>
        <item x="31"/>
        <item x="35"/>
        <item x="13"/>
        <item x="14"/>
        <item x="15"/>
        <item x="16"/>
        <item x="17"/>
        <item x="18"/>
        <item x="19"/>
        <item x="36"/>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33"/>
        <item x="35"/>
        <item x="32"/>
        <item x="29"/>
        <item x="1"/>
        <item x="17"/>
        <item x="31"/>
        <item x="36"/>
        <item x="18"/>
        <item x="15"/>
        <item x="5"/>
        <item x="22"/>
        <item x="16"/>
        <item x="25"/>
        <item x="34"/>
        <item x="2"/>
        <item x="8"/>
        <item x="27"/>
        <item x="4"/>
        <item x="12"/>
        <item x="19"/>
        <item x="9"/>
        <item x="10"/>
        <item x="24"/>
        <item x="28"/>
        <item x="23"/>
        <item x="7"/>
        <item x="3"/>
        <item x="11"/>
        <item x="0"/>
        <item x="20"/>
        <item x="14"/>
        <item x="6"/>
        <item x="13"/>
        <item x="21"/>
        <item x="26"/>
        <item x="37"/>
        <item x="30"/>
        <item t="default"/>
      </items>
    </pivotField>
    <pivotField showAll="0"/>
    <pivotField showAll="0"/>
    <pivotField dataField="1" numFmtId="164" showAll="0"/>
  </pivotFields>
  <rowFields count="1">
    <field x="0"/>
  </rowFields>
  <rowItems count="8">
    <i>
      <x v="5"/>
    </i>
    <i>
      <x v="30"/>
    </i>
    <i>
      <x v="21"/>
    </i>
    <i>
      <x v="16"/>
    </i>
    <i>
      <x v="12"/>
    </i>
    <i>
      <x v="19"/>
    </i>
    <i>
      <x v="20"/>
    </i>
    <i t="grand">
      <x/>
    </i>
  </rowItems>
  <colItems count="1">
    <i/>
  </colItems>
  <dataFields count="1">
    <dataField name="Sum of Total Increase" fld="26" baseField="0" baseItem="0" numFmtId="164"/>
  </dataFields>
  <formats count="2">
    <format dxfId="1">
      <pivotArea collapsedLevelsAreSubtotals="1" fieldPosition="0">
        <references count="1">
          <reference field="0" count="1">
            <x v="0"/>
          </reference>
        </references>
      </pivotArea>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OrEqual" evalOrder="-1" id="3" iMeasureFld="0">
      <autoFilter ref="A1">
        <filterColumn colId="0">
          <customFilters>
            <customFilter operator="greaterThanOrEqual"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Milk Production Region Wise"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M5:N42" firstHeaderRow="1" firstDataRow="1" firstDataCol="1" rowPageCount="1" colPageCount="1"/>
  <pivotFields count="4">
    <pivotField axis="axisPage" multipleItemSelectionAllowed="1" showAll="0">
      <items count="24">
        <item h="1" x="0"/>
        <item h="1" x="1"/>
        <item h="1" x="2"/>
        <item h="1" x="3"/>
        <item h="1" x="4"/>
        <item h="1" x="5"/>
        <item h="1" x="6"/>
        <item h="1" x="7"/>
        <item h="1" x="8"/>
        <item h="1" x="9"/>
        <item h="1" x="10"/>
        <item h="1" x="11"/>
        <item h="1" x="12"/>
        <item h="1" x="13"/>
        <item h="1" x="14"/>
        <item h="1" x="15"/>
        <item h="1" x="16"/>
        <item x="17"/>
        <item h="1" x="18"/>
        <item h="1" x="19"/>
        <item h="1" x="20"/>
        <item h="1" x="21"/>
        <item h="1" x="22"/>
        <item t="default"/>
      </items>
    </pivotField>
    <pivotField axis="axisRow"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Row" showAll="0">
      <items count="7">
        <item x="3"/>
        <item x="2"/>
        <item x="1"/>
        <item x="5"/>
        <item x="0"/>
        <item x="4"/>
        <item t="default"/>
      </items>
    </pivotField>
    <pivotField dataField="1" showAll="0"/>
  </pivotFields>
  <rowFields count="2">
    <field x="2"/>
    <field x="1"/>
  </rowFields>
  <rowItems count="37">
    <i>
      <x/>
    </i>
    <i r="1">
      <x v="4"/>
    </i>
    <i r="1">
      <x v="14"/>
    </i>
    <i>
      <x v="1"/>
    </i>
    <i r="1">
      <x v="3"/>
    </i>
    <i r="1">
      <x v="11"/>
    </i>
    <i r="1">
      <x v="20"/>
    </i>
    <i r="1">
      <x v="29"/>
    </i>
    <i>
      <x v="2"/>
    </i>
    <i r="1">
      <x v="1"/>
    </i>
    <i r="1">
      <x v="2"/>
    </i>
    <i r="1">
      <x v="16"/>
    </i>
    <i r="1">
      <x v="17"/>
    </i>
    <i r="1">
      <x v="18"/>
    </i>
    <i r="1">
      <x v="19"/>
    </i>
    <i r="1">
      <x v="23"/>
    </i>
    <i r="1">
      <x v="26"/>
    </i>
    <i>
      <x v="3"/>
    </i>
    <i r="1">
      <x v="5"/>
    </i>
    <i r="1">
      <x v="8"/>
    </i>
    <i r="1">
      <x v="9"/>
    </i>
    <i r="1">
      <x v="10"/>
    </i>
    <i r="1">
      <x v="21"/>
    </i>
    <i r="1">
      <x v="22"/>
    </i>
    <i r="1">
      <x v="27"/>
    </i>
    <i r="1">
      <x v="28"/>
    </i>
    <i>
      <x v="4"/>
    </i>
    <i r="1">
      <x/>
    </i>
    <i r="1">
      <x v="12"/>
    </i>
    <i r="1">
      <x v="13"/>
    </i>
    <i r="1">
      <x v="24"/>
    </i>
    <i r="1">
      <x v="25"/>
    </i>
    <i>
      <x v="5"/>
    </i>
    <i r="1">
      <x v="6"/>
    </i>
    <i r="1">
      <x v="7"/>
    </i>
    <i r="1">
      <x v="15"/>
    </i>
    <i t="grand">
      <x/>
    </i>
  </rowItems>
  <colItems count="1">
    <i/>
  </colItems>
  <pageFields count="1">
    <pageField fld="0" hier="-1"/>
  </pageFields>
  <dataFields count="1">
    <dataField name="Sum of Milk"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Line Chart"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G4:H28" firstHeaderRow="1" firstDataRow="1" firstDataCol="1" rowPageCount="2" colPageCount="1"/>
  <pivotFields count="4">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pivotField>
    <pivotField axis="axisPage" showAll="0">
      <items count="7">
        <item x="3"/>
        <item x="2"/>
        <item x="1"/>
        <item x="5"/>
        <item x="0"/>
        <item x="4"/>
        <item t="default"/>
      </items>
    </pivotField>
    <pivotField dataField="1"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2">
    <pageField fld="2" hier="-1"/>
    <pageField fld="1" item="4" hier="-1"/>
  </pageFields>
  <dataFields count="1">
    <dataField name="Sum of Milk" fld="3"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otal Milk"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S3:S4" firstHeaderRow="1" firstDataRow="1" firstDataCol="0" rowPageCount="1" colPageCount="1"/>
  <pivotFields count="4">
    <pivotField axis="axisPage" multipleItemSelectionAllowed="1" showAll="0">
      <items count="24">
        <item h="1" x="0"/>
        <item h="1" x="1"/>
        <item h="1" x="2"/>
        <item h="1" x="3"/>
        <item h="1" x="4"/>
        <item h="1" x="5"/>
        <item h="1" x="6"/>
        <item h="1" x="7"/>
        <item h="1" x="8"/>
        <item h="1" x="9"/>
        <item h="1" x="10"/>
        <item h="1" x="11"/>
        <item h="1" x="12"/>
        <item h="1" x="13"/>
        <item h="1" x="14"/>
        <item h="1" x="15"/>
        <item h="1" x="16"/>
        <item x="17"/>
        <item h="1" x="18"/>
        <item h="1" x="19"/>
        <item h="1" x="20"/>
        <item h="1" x="21"/>
        <item h="1" x="22"/>
        <item t="default"/>
      </items>
    </pivotField>
    <pivotField showAll="0">
      <items count="31">
        <item h="1" x="0"/>
        <item h="1" x="1"/>
        <item h="1" x="2"/>
        <item h="1" x="3"/>
        <item x="4"/>
        <item h="1" x="29"/>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 showAll="0">
      <items count="7">
        <item x="3"/>
        <item x="2"/>
        <item x="1"/>
        <item x="5"/>
        <item x="0"/>
        <item x="4"/>
        <item t="default"/>
      </items>
    </pivotField>
    <pivotField dataField="1" showAll="0"/>
  </pivotFields>
  <rowItems count="1">
    <i/>
  </rowItems>
  <colItems count="1">
    <i/>
  </colItems>
  <pageFields count="1">
    <pageField fld="0" hier="-1"/>
  </pageFields>
  <dataFields count="1">
    <dataField name="Sum of Mil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States Ranking"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Z3:AA14" firstHeaderRow="1" firstDataRow="1" firstDataCol="1" rowPageCount="1" colPageCount="1"/>
  <pivotFields count="4">
    <pivotField axis="axisPage" multipleItemSelectionAllowed="1" showAll="0">
      <items count="24">
        <item h="1" x="0"/>
        <item h="1" x="1"/>
        <item h="1" x="2"/>
        <item h="1" x="3"/>
        <item h="1" x="4"/>
        <item h="1" x="5"/>
        <item h="1" x="6"/>
        <item h="1" x="7"/>
        <item h="1" x="8"/>
        <item h="1" x="9"/>
        <item h="1" x="10"/>
        <item h="1" x="11"/>
        <item h="1" x="12"/>
        <item h="1" x="13"/>
        <item h="1" x="14"/>
        <item h="1" x="15"/>
        <item h="1" x="16"/>
        <item x="17"/>
        <item h="1" x="18"/>
        <item h="1" x="19"/>
        <item h="1" x="20"/>
        <item h="1" x="21"/>
        <item h="1" x="22"/>
        <item t="default"/>
      </items>
    </pivotField>
    <pivotField axis="axisRow" showAll="0" measureFilter="1" sortType="de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
  </rowFields>
  <rowItems count="11">
    <i>
      <x v="27"/>
    </i>
    <i>
      <x v="14"/>
    </i>
    <i>
      <x/>
    </i>
    <i>
      <x v="7"/>
    </i>
    <i>
      <x v="15"/>
    </i>
    <i>
      <x v="8"/>
    </i>
    <i>
      <x v="3"/>
    </i>
    <i>
      <x v="21"/>
    </i>
    <i>
      <x v="25"/>
    </i>
    <i>
      <x v="12"/>
    </i>
    <i t="grand">
      <x/>
    </i>
  </rowItems>
  <colItems count="1">
    <i/>
  </colItems>
  <pageFields count="1">
    <pageField fld="0" hier="-1"/>
  </pageFields>
  <dataFields count="1">
    <dataField name="Sum of Milk" fld="3"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Region/State wise  Prod"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F5:AF6" firstHeaderRow="1" firstDataRow="1" firstDataCol="0" rowPageCount="3" colPageCount="1"/>
  <pivotFields count="4">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sortType="de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axis="axisPage" showAll="0">
      <items count="7">
        <item x="3"/>
        <item x="2"/>
        <item x="1"/>
        <item x="5"/>
        <item x="0"/>
        <item x="4"/>
        <item t="default"/>
      </items>
    </pivotField>
    <pivotField dataField="1" showAll="0"/>
  </pivotFields>
  <rowItems count="1">
    <i/>
  </rowItems>
  <colItems count="1">
    <i/>
  </colItems>
  <pageFields count="3">
    <pageField fld="2" hier="-1"/>
    <pageField fld="0" item="17" hier="-1"/>
    <pageField fld="1" item="4" hier="-1"/>
  </pageFields>
  <dataFields count="1">
    <dataField name="Sum of Mil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9" firstHeaderRow="1" firstDataRow="1" firstDataCol="1" rowPageCount="1" colPageCount="1"/>
  <pivotFields count="4">
    <pivotField showAll="0"/>
    <pivotField axis="axisRow" showAll="0" measureFilter="1" sortType="de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axis="axisPage" showAll="0">
      <items count="7">
        <item x="3"/>
        <item x="2"/>
        <item x="1"/>
        <item x="5"/>
        <item x="0"/>
        <item x="4"/>
        <item t="default"/>
      </items>
    </pivotField>
    <pivotField dataField="1" showAll="0"/>
  </pivotFields>
  <rowFields count="1">
    <field x="1"/>
  </rowFields>
  <rowItems count="6">
    <i>
      <x v="27"/>
    </i>
    <i>
      <x v="21"/>
    </i>
    <i>
      <x v="8"/>
    </i>
    <i>
      <x v="22"/>
    </i>
    <i>
      <x v="10"/>
    </i>
    <i t="grand">
      <x/>
    </i>
  </rowItems>
  <colItems count="1">
    <i/>
  </colItems>
  <pageFields count="1">
    <pageField fld="2" item="3" hier="-1"/>
  </pageFields>
  <dataFields count="1">
    <dataField name="Sum of Milk"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Top Regions"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V1:W8" firstHeaderRow="1" firstDataRow="1" firstDataCol="1"/>
  <pivotFields count="4">
    <pivotField showAll="0">
      <items count="24">
        <item h="1" x="0"/>
        <item h="1" x="1"/>
        <item h="1" x="2"/>
        <item h="1" x="3"/>
        <item h="1" x="4"/>
        <item h="1" x="5"/>
        <item h="1" x="6"/>
        <item h="1" x="7"/>
        <item h="1" x="8"/>
        <item h="1" x="9"/>
        <item h="1" x="10"/>
        <item h="1" x="11"/>
        <item h="1" x="12"/>
        <item h="1" x="13"/>
        <item h="1" x="14"/>
        <item h="1" x="15"/>
        <item h="1" x="16"/>
        <item x="17"/>
        <item h="1" x="18"/>
        <item h="1" x="19"/>
        <item h="1" x="20"/>
        <item h="1" x="21"/>
        <item h="1" x="22"/>
        <item t="default"/>
      </items>
    </pivotField>
    <pivotField showAll="0"/>
    <pivotField axis="axisRow" showAll="0" sortType="descending">
      <items count="7">
        <item x="4"/>
        <item x="0"/>
        <item x="5"/>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7">
    <i>
      <x v="2"/>
    </i>
    <i>
      <x v="1"/>
    </i>
    <i>
      <x/>
    </i>
    <i>
      <x v="4"/>
    </i>
    <i>
      <x v="5"/>
    </i>
    <i>
      <x v="3"/>
    </i>
    <i t="grand">
      <x/>
    </i>
  </rowItems>
  <colItems count="1">
    <i/>
  </colItems>
  <dataFields count="1">
    <dataField name="Sum of Mil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D3:E14" firstHeaderRow="1" firstDataRow="1" firstDataCol="1" rowPageCount="1" colPageCount="1"/>
  <pivotFields count="4">
    <pivotField axis="axisPage" showAll="0">
      <items count="24">
        <item x="0"/>
        <item x="1"/>
        <item x="2"/>
        <item x="3"/>
        <item x="4"/>
        <item x="5"/>
        <item x="6"/>
        <item x="7"/>
        <item x="8"/>
        <item x="9"/>
        <item x="10"/>
        <item x="11"/>
        <item x="12"/>
        <item x="13"/>
        <item x="14"/>
        <item x="15"/>
        <item x="16"/>
        <item x="17"/>
        <item x="18"/>
        <item x="19"/>
        <item x="20"/>
        <item x="21"/>
        <item x="22"/>
        <item t="default"/>
      </items>
    </pivotField>
    <pivotField axis="axisRow" showAll="0" measureFilter="1" sortType="descending">
      <items count="31">
        <item x="0"/>
        <item x="1"/>
        <item x="2"/>
        <item x="3"/>
        <item x="4"/>
        <item x="29"/>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
  </rowFields>
  <rowItems count="11">
    <i>
      <x v="27"/>
    </i>
    <i>
      <x/>
    </i>
    <i>
      <x v="7"/>
    </i>
    <i>
      <x v="14"/>
    </i>
    <i>
      <x v="15"/>
    </i>
    <i>
      <x v="21"/>
    </i>
    <i>
      <x v="8"/>
    </i>
    <i>
      <x v="3"/>
    </i>
    <i>
      <x v="25"/>
    </i>
    <i>
      <x v="12"/>
    </i>
    <i t="grand">
      <x/>
    </i>
  </rowItems>
  <colItems count="1">
    <i/>
  </colItems>
  <pageFields count="1">
    <pageField fld="0" hier="-1"/>
  </pageFields>
  <dataFields count="1">
    <dataField name="Sum of Milk"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Total Milk"/>
    <pivotTable tabId="3" name="Top Regions"/>
    <pivotTable tabId="3" name="States Ranking"/>
    <pivotTable tabId="3" name="Milk Production Region Wise"/>
    <pivotTable tabId="3" name="Region/State wise  Prod"/>
  </pivotTables>
  <data>
    <tabular pivotCacheId="1">
      <items count="23">
        <i x="0"/>
        <i x="1"/>
        <i x="2"/>
        <i x="3"/>
        <i x="4"/>
        <i x="5"/>
        <i x="6"/>
        <i x="7"/>
        <i x="8"/>
        <i x="9"/>
        <i x="10"/>
        <i x="11"/>
        <i x="12"/>
        <i x="13"/>
        <i x="14"/>
        <i x="15"/>
        <i x="16"/>
        <i x="17" s="1"/>
        <i x="18"/>
        <i x="19"/>
        <i x="20"/>
        <i x="21"/>
        <i x="2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Milk Production Region Wise"/>
    <pivotTable tabId="3" name="Line Chart"/>
    <pivotTable tabId="3" name="Total Milk"/>
    <pivotTable tabId="3" name="Region/State wise  Prod"/>
  </pivotTables>
  <data>
    <tabular pivotCacheId="1">
      <items count="6">
        <i x="3" s="1"/>
        <i x="2" s="1"/>
        <i x="1" s="1"/>
        <i x="5"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Line Chart"/>
    <pivotTable tabId="3" name="Total Milk"/>
    <pivotTable tabId="3" name="Region/State wise  Prod"/>
  </pivotTables>
  <data>
    <tabular pivotCacheId="1">
      <items count="30">
        <i x="0"/>
        <i x="1"/>
        <i x="2"/>
        <i x="3"/>
        <i x="4" s="1"/>
        <i x="29"/>
        <i x="5"/>
        <i x="6"/>
        <i x="7"/>
        <i x="8"/>
        <i x="9"/>
        <i x="10"/>
        <i x="11"/>
        <i x="12"/>
        <i x="13"/>
        <i x="14"/>
        <i x="15"/>
        <i x="16"/>
        <i x="17"/>
        <i x="18"/>
        <i x="19"/>
        <i x="20"/>
        <i x="21"/>
        <i x="22"/>
        <i x="23"/>
        <i x="24"/>
        <i x="25"/>
        <i x="26"/>
        <i x="27"/>
        <i x="2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12" style="SlicerStyleLight6" rowHeight="198966"/>
  <slicer name="Region" cache="Slicer_Region" caption="Region" style="SlicerStyleLight6" rowHeight="198966"/>
  <slicer name="State" cache="Slicer_State" caption="State" style="SlicerStyleLight6" rowHeight="198966"/>
</slicers>
</file>

<file path=xl/tables/table1.xml><?xml version="1.0" encoding="utf-8"?>
<table xmlns="http://schemas.openxmlformats.org/spreadsheetml/2006/main" id="1" name="Table1" displayName="Table1" ref="A1:Z39" totalsRowShown="0" headerRowDxfId="30" headerRowBorderDxfId="29" tableBorderDxfId="28">
  <tableColumns count="26">
    <tableColumn id="1" name="State" dataDxfId="27"/>
    <tableColumn id="2" name="2001-_x000a_02" dataDxfId="26"/>
    <tableColumn id="3" name="2002-_x000a_03" dataDxfId="25"/>
    <tableColumn id="4" name="2003-_x000a_04" dataDxfId="24"/>
    <tableColumn id="5" name="2004-_x000a_05" dataDxfId="23"/>
    <tableColumn id="6" name="2005-_x000a_06" dataDxfId="22"/>
    <tableColumn id="7" name="2006-_x000a_07" dataDxfId="21"/>
    <tableColumn id="8" name="2007-_x000a_08" dataDxfId="20"/>
    <tableColumn id="9" name="2008-_x000a_09" dataDxfId="19"/>
    <tableColumn id="10" name="2009-_x000a_10" dataDxfId="18"/>
    <tableColumn id="11" name="2010-_x000a_11" dataDxfId="17"/>
    <tableColumn id="12" name="2011-_x000a_12" dataDxfId="16"/>
    <tableColumn id="13" name="2012-_x000a_13" dataDxfId="15"/>
    <tableColumn id="14" name="2013-_x000a_14" dataDxfId="14"/>
    <tableColumn id="15" name="2014-_x000a_15" dataDxfId="13"/>
    <tableColumn id="16" name="2015-_x000a_16" dataDxfId="12"/>
    <tableColumn id="17" name="2016-_x000a_17" dataDxfId="11"/>
    <tableColumn id="18" name="2017-18" dataDxfId="10"/>
    <tableColumn id="19" name="2018-19" dataDxfId="9"/>
    <tableColumn id="20" name="2019-20" dataDxfId="8"/>
    <tableColumn id="21" name="2020-21" dataDxfId="7"/>
    <tableColumn id="22" name="2021-22" dataDxfId="6"/>
    <tableColumn id="23" name="2022-_x000a_23" dataDxfId="5"/>
    <tableColumn id="24" name="2023-_x000a_24" dataDxfId="4"/>
    <tableColumn id="25" name="Total" dataDxfId="3">
      <calculatedColumnFormula>SUM(Table1[[#This Row],[2001-
02]:[2023-
24]])</calculatedColumnFormula>
    </tableColumn>
    <tableColumn id="26" name="Region"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ctrlProp" Target="../ctrlProps/ctrlProp1.xml"/><Relationship Id="rId18" Type="http://schemas.openxmlformats.org/officeDocument/2006/relationships/ctrlProp" Target="../ctrlProps/ctrlProp6.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vmlDrawing" Target="../drawings/vmlDrawing1.vml"/><Relationship Id="rId17" Type="http://schemas.openxmlformats.org/officeDocument/2006/relationships/ctrlProp" Target="../ctrlProps/ctrlProp5.xml"/><Relationship Id="rId2" Type="http://schemas.openxmlformats.org/officeDocument/2006/relationships/pivotTable" Target="../pivotTables/pivotTable2.xml"/><Relationship Id="rId16" Type="http://schemas.openxmlformats.org/officeDocument/2006/relationships/ctrlProp" Target="../ctrlProps/ctrlProp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5" Type="http://schemas.openxmlformats.org/officeDocument/2006/relationships/ctrlProp" Target="../ctrlProps/ctrlProp3.xml"/><Relationship Id="rId10" Type="http://schemas.openxmlformats.org/officeDocument/2006/relationships/printerSettings" Target="../printerSettings/printerSettings3.bin"/><Relationship Id="rId19" Type="http://schemas.openxmlformats.org/officeDocument/2006/relationships/ctrlProp" Target="../ctrlProps/ctrlProp7.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C44"/>
  <sheetViews>
    <sheetView topLeftCell="A8" zoomScale="80" zoomScaleNormal="80" workbookViewId="0">
      <selection sqref="A1:Z38"/>
    </sheetView>
  </sheetViews>
  <sheetFormatPr defaultRowHeight="13" x14ac:dyDescent="0.3"/>
  <cols>
    <col min="26" max="26" width="14.796875" bestFit="1" customWidth="1"/>
    <col min="27" max="27" width="12.199218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6" t="s">
        <v>26</v>
      </c>
    </row>
    <row r="2" spans="1:27" x14ac:dyDescent="0.3">
      <c r="A2" t="s">
        <v>27</v>
      </c>
      <c r="B2">
        <v>5814</v>
      </c>
      <c r="C2">
        <v>6584</v>
      </c>
      <c r="D2">
        <v>6959</v>
      </c>
      <c r="E2">
        <v>7257</v>
      </c>
      <c r="F2">
        <v>7624</v>
      </c>
      <c r="G2">
        <v>7938</v>
      </c>
      <c r="H2">
        <v>8925</v>
      </c>
      <c r="I2">
        <v>9570</v>
      </c>
      <c r="J2">
        <v>10429</v>
      </c>
      <c r="K2">
        <v>11203</v>
      </c>
      <c r="L2">
        <v>12088</v>
      </c>
      <c r="M2">
        <v>12762</v>
      </c>
      <c r="N2">
        <v>13007</v>
      </c>
      <c r="O2">
        <v>9656</v>
      </c>
      <c r="P2">
        <v>10817</v>
      </c>
      <c r="Q2">
        <v>12178</v>
      </c>
      <c r="R2">
        <v>13725</v>
      </c>
      <c r="S2">
        <v>15044</v>
      </c>
      <c r="T2">
        <v>15263</v>
      </c>
      <c r="U2">
        <v>14714</v>
      </c>
      <c r="V2">
        <v>15403</v>
      </c>
      <c r="W2">
        <v>15448</v>
      </c>
      <c r="X2">
        <v>13994</v>
      </c>
      <c r="Y2">
        <v>256402</v>
      </c>
      <c r="Z2" t="s">
        <v>28</v>
      </c>
      <c r="AA2" s="26">
        <f>(MAX(B2:X2)-B2)/B2</f>
        <v>1.6570347437220503</v>
      </c>
    </row>
    <row r="3" spans="1:27" x14ac:dyDescent="0.3">
      <c r="A3" t="s">
        <v>29</v>
      </c>
      <c r="B3">
        <v>42</v>
      </c>
      <c r="C3">
        <v>46</v>
      </c>
      <c r="D3">
        <v>46</v>
      </c>
      <c r="E3">
        <v>48</v>
      </c>
      <c r="F3">
        <v>48</v>
      </c>
      <c r="G3">
        <v>49</v>
      </c>
      <c r="H3">
        <v>32</v>
      </c>
      <c r="I3">
        <v>24</v>
      </c>
      <c r="J3">
        <v>26</v>
      </c>
      <c r="K3">
        <v>28</v>
      </c>
      <c r="L3">
        <v>22</v>
      </c>
      <c r="M3">
        <v>23</v>
      </c>
      <c r="N3">
        <v>43</v>
      </c>
      <c r="O3">
        <v>46</v>
      </c>
      <c r="P3">
        <v>50</v>
      </c>
      <c r="Q3">
        <v>53</v>
      </c>
      <c r="R3">
        <v>54</v>
      </c>
      <c r="S3">
        <v>55</v>
      </c>
      <c r="T3">
        <v>61</v>
      </c>
      <c r="U3">
        <v>44</v>
      </c>
      <c r="V3">
        <v>46</v>
      </c>
      <c r="W3">
        <v>46</v>
      </c>
      <c r="X3">
        <v>20</v>
      </c>
      <c r="Y3">
        <v>952</v>
      </c>
      <c r="Z3" t="s">
        <v>30</v>
      </c>
      <c r="AA3" s="26">
        <f t="shared" ref="AA3:AA39" si="0">(MAX(B3:X3)-B3)/B3</f>
        <v>0.45238095238095238</v>
      </c>
    </row>
    <row r="4" spans="1:27" x14ac:dyDescent="0.3">
      <c r="A4" t="s">
        <v>31</v>
      </c>
      <c r="B4">
        <v>682</v>
      </c>
      <c r="C4">
        <v>705</v>
      </c>
      <c r="D4">
        <v>727</v>
      </c>
      <c r="E4">
        <v>739</v>
      </c>
      <c r="F4">
        <v>747</v>
      </c>
      <c r="G4">
        <v>750</v>
      </c>
      <c r="H4">
        <v>752</v>
      </c>
      <c r="I4">
        <v>753</v>
      </c>
      <c r="J4">
        <v>756</v>
      </c>
      <c r="K4">
        <v>790</v>
      </c>
      <c r="L4">
        <v>796</v>
      </c>
      <c r="M4">
        <v>800</v>
      </c>
      <c r="N4">
        <v>815</v>
      </c>
      <c r="O4">
        <v>829</v>
      </c>
      <c r="P4">
        <v>843</v>
      </c>
      <c r="Q4">
        <v>861</v>
      </c>
      <c r="R4">
        <v>872</v>
      </c>
      <c r="S4">
        <v>882</v>
      </c>
      <c r="T4">
        <v>920</v>
      </c>
      <c r="U4">
        <v>954</v>
      </c>
      <c r="V4">
        <v>982</v>
      </c>
      <c r="W4">
        <v>1006</v>
      </c>
      <c r="X4">
        <v>1092</v>
      </c>
      <c r="Y4">
        <v>19053</v>
      </c>
      <c r="Z4" t="s">
        <v>30</v>
      </c>
      <c r="AA4" s="26">
        <f t="shared" si="0"/>
        <v>0.60117302052785926</v>
      </c>
    </row>
    <row r="5" spans="1:27" x14ac:dyDescent="0.3">
      <c r="A5" t="s">
        <v>32</v>
      </c>
      <c r="B5">
        <v>2664</v>
      </c>
      <c r="C5">
        <v>2869</v>
      </c>
      <c r="D5">
        <v>3180</v>
      </c>
      <c r="E5">
        <v>4743</v>
      </c>
      <c r="F5">
        <v>5060</v>
      </c>
      <c r="G5">
        <v>5451</v>
      </c>
      <c r="H5">
        <v>5783</v>
      </c>
      <c r="I5">
        <v>5934</v>
      </c>
      <c r="J5">
        <v>6124</v>
      </c>
      <c r="K5">
        <v>6517</v>
      </c>
      <c r="L5">
        <v>6643</v>
      </c>
      <c r="M5">
        <v>6845</v>
      </c>
      <c r="N5">
        <v>7197</v>
      </c>
      <c r="O5">
        <v>7775</v>
      </c>
      <c r="P5">
        <v>8288</v>
      </c>
      <c r="Q5">
        <v>8711</v>
      </c>
      <c r="R5">
        <v>9242</v>
      </c>
      <c r="S5">
        <v>9818</v>
      </c>
      <c r="T5">
        <v>10480</v>
      </c>
      <c r="U5">
        <v>11502</v>
      </c>
      <c r="V5">
        <v>12253</v>
      </c>
      <c r="W5">
        <v>12503</v>
      </c>
      <c r="X5">
        <v>12853</v>
      </c>
      <c r="Y5">
        <v>172435</v>
      </c>
      <c r="Z5" t="s">
        <v>33</v>
      </c>
      <c r="AA5" s="26">
        <f t="shared" si="0"/>
        <v>3.8246996996996998</v>
      </c>
    </row>
    <row r="6" spans="1:27" x14ac:dyDescent="0.3">
      <c r="A6" t="s">
        <v>34</v>
      </c>
      <c r="B6">
        <v>795</v>
      </c>
      <c r="C6">
        <v>804</v>
      </c>
      <c r="D6">
        <v>812</v>
      </c>
      <c r="E6">
        <v>831</v>
      </c>
      <c r="F6">
        <v>839</v>
      </c>
      <c r="G6">
        <v>849</v>
      </c>
      <c r="H6">
        <v>866</v>
      </c>
      <c r="I6">
        <v>908</v>
      </c>
      <c r="J6">
        <v>956</v>
      </c>
      <c r="K6">
        <v>1029</v>
      </c>
      <c r="L6">
        <v>1119</v>
      </c>
      <c r="M6">
        <v>1164</v>
      </c>
      <c r="N6">
        <v>1209</v>
      </c>
      <c r="O6">
        <v>1232</v>
      </c>
      <c r="P6">
        <v>1277</v>
      </c>
      <c r="Q6">
        <v>1374</v>
      </c>
      <c r="R6">
        <v>1469</v>
      </c>
      <c r="S6">
        <v>1567</v>
      </c>
      <c r="T6">
        <v>1676</v>
      </c>
      <c r="U6">
        <v>1747</v>
      </c>
      <c r="V6">
        <v>1848</v>
      </c>
      <c r="W6">
        <v>1956</v>
      </c>
      <c r="X6">
        <v>2124</v>
      </c>
      <c r="Y6">
        <v>28451</v>
      </c>
      <c r="Z6" t="s">
        <v>35</v>
      </c>
      <c r="AA6" s="26">
        <f t="shared" si="0"/>
        <v>1.6716981132075472</v>
      </c>
    </row>
    <row r="7" spans="1:27" x14ac:dyDescent="0.3">
      <c r="A7" t="s">
        <v>36</v>
      </c>
      <c r="B7">
        <v>45</v>
      </c>
      <c r="C7">
        <v>46</v>
      </c>
      <c r="D7">
        <v>48</v>
      </c>
      <c r="E7">
        <v>57</v>
      </c>
      <c r="F7">
        <v>56</v>
      </c>
      <c r="G7">
        <v>57</v>
      </c>
      <c r="H7">
        <v>58</v>
      </c>
      <c r="I7">
        <v>59</v>
      </c>
      <c r="J7">
        <v>59</v>
      </c>
      <c r="K7">
        <v>60</v>
      </c>
      <c r="L7">
        <v>60</v>
      </c>
      <c r="M7">
        <v>61</v>
      </c>
      <c r="N7">
        <v>68</v>
      </c>
      <c r="O7">
        <v>67</v>
      </c>
      <c r="P7">
        <v>54</v>
      </c>
      <c r="Q7">
        <v>51</v>
      </c>
      <c r="R7">
        <v>55</v>
      </c>
      <c r="S7">
        <v>57</v>
      </c>
      <c r="T7">
        <v>61</v>
      </c>
      <c r="U7">
        <v>60</v>
      </c>
      <c r="V7">
        <v>63</v>
      </c>
      <c r="W7">
        <v>64</v>
      </c>
      <c r="X7">
        <v>64</v>
      </c>
      <c r="Y7">
        <v>1330</v>
      </c>
      <c r="Z7" t="s">
        <v>37</v>
      </c>
      <c r="AA7" s="26">
        <f t="shared" si="0"/>
        <v>0.51111111111111107</v>
      </c>
    </row>
    <row r="8" spans="1:27" x14ac:dyDescent="0.3">
      <c r="A8" t="s">
        <v>38</v>
      </c>
      <c r="B8">
        <v>5862</v>
      </c>
      <c r="C8">
        <v>6089</v>
      </c>
      <c r="D8">
        <v>6421</v>
      </c>
      <c r="E8">
        <v>6745</v>
      </c>
      <c r="F8">
        <v>6960</v>
      </c>
      <c r="G8">
        <v>7533</v>
      </c>
      <c r="H8">
        <v>7911</v>
      </c>
      <c r="I8">
        <v>8386</v>
      </c>
      <c r="J8">
        <v>8844</v>
      </c>
      <c r="K8">
        <v>9321</v>
      </c>
      <c r="L8">
        <v>9817</v>
      </c>
      <c r="M8">
        <v>10315</v>
      </c>
      <c r="N8">
        <v>11112</v>
      </c>
      <c r="O8">
        <v>11691</v>
      </c>
      <c r="P8">
        <v>12262</v>
      </c>
      <c r="Q8">
        <v>12784</v>
      </c>
      <c r="R8">
        <v>13569</v>
      </c>
      <c r="S8">
        <v>14493</v>
      </c>
      <c r="T8">
        <v>15292</v>
      </c>
      <c r="U8">
        <v>15853</v>
      </c>
      <c r="V8">
        <v>16722</v>
      </c>
      <c r="W8">
        <v>17281</v>
      </c>
      <c r="X8">
        <v>18312</v>
      </c>
      <c r="Y8">
        <v>253575</v>
      </c>
      <c r="Z8" t="s">
        <v>37</v>
      </c>
      <c r="AA8" s="26">
        <f t="shared" si="0"/>
        <v>2.1238485158648923</v>
      </c>
    </row>
    <row r="9" spans="1:27" x14ac:dyDescent="0.3">
      <c r="A9" t="s">
        <v>39</v>
      </c>
      <c r="B9">
        <v>4978</v>
      </c>
      <c r="C9">
        <v>5124</v>
      </c>
      <c r="D9">
        <v>5221</v>
      </c>
      <c r="E9">
        <v>5222</v>
      </c>
      <c r="F9">
        <v>5299</v>
      </c>
      <c r="G9">
        <v>5366</v>
      </c>
      <c r="H9">
        <v>5442</v>
      </c>
      <c r="I9">
        <v>5745</v>
      </c>
      <c r="J9">
        <v>6006</v>
      </c>
      <c r="K9">
        <v>6267</v>
      </c>
      <c r="L9">
        <v>6661</v>
      </c>
      <c r="M9">
        <v>7040</v>
      </c>
      <c r="N9">
        <v>7442</v>
      </c>
      <c r="O9">
        <v>7901</v>
      </c>
      <c r="P9">
        <v>8381</v>
      </c>
      <c r="Q9">
        <v>8975</v>
      </c>
      <c r="R9">
        <v>9809</v>
      </c>
      <c r="S9">
        <v>10726</v>
      </c>
      <c r="T9">
        <v>11735</v>
      </c>
      <c r="U9">
        <v>11284</v>
      </c>
      <c r="V9">
        <v>11630</v>
      </c>
      <c r="W9">
        <v>11966</v>
      </c>
      <c r="X9">
        <v>12220</v>
      </c>
      <c r="Y9">
        <v>180440</v>
      </c>
      <c r="Z9" t="s">
        <v>40</v>
      </c>
      <c r="AA9" s="26">
        <f t="shared" si="0"/>
        <v>1.454801124949779</v>
      </c>
    </row>
    <row r="10" spans="1:27" x14ac:dyDescent="0.3">
      <c r="A10" t="s">
        <v>41</v>
      </c>
      <c r="B10">
        <v>756</v>
      </c>
      <c r="C10">
        <v>773</v>
      </c>
      <c r="D10">
        <v>786</v>
      </c>
      <c r="E10">
        <v>870</v>
      </c>
      <c r="F10">
        <v>869</v>
      </c>
      <c r="G10">
        <v>933</v>
      </c>
      <c r="H10">
        <v>1007</v>
      </c>
      <c r="I10">
        <v>1026</v>
      </c>
      <c r="J10">
        <v>971</v>
      </c>
      <c r="K10">
        <v>1102</v>
      </c>
      <c r="L10">
        <v>1120</v>
      </c>
      <c r="M10">
        <v>1139</v>
      </c>
      <c r="N10">
        <v>1151</v>
      </c>
      <c r="O10">
        <v>1172</v>
      </c>
      <c r="P10">
        <v>1283</v>
      </c>
      <c r="Q10">
        <v>1329</v>
      </c>
      <c r="R10">
        <v>1392</v>
      </c>
      <c r="S10">
        <v>1460</v>
      </c>
      <c r="T10">
        <v>1531</v>
      </c>
      <c r="U10">
        <v>1576</v>
      </c>
      <c r="V10">
        <v>1615</v>
      </c>
      <c r="W10">
        <v>1617</v>
      </c>
      <c r="X10">
        <v>1749</v>
      </c>
      <c r="Y10">
        <v>27227</v>
      </c>
      <c r="Z10" t="s">
        <v>40</v>
      </c>
      <c r="AA10" s="26">
        <f t="shared" si="0"/>
        <v>1.3134920634920635</v>
      </c>
    </row>
    <row r="11" spans="1:27" x14ac:dyDescent="0.3">
      <c r="A11" t="s">
        <v>42</v>
      </c>
      <c r="B11">
        <v>1360</v>
      </c>
      <c r="C11">
        <v>1389</v>
      </c>
      <c r="D11">
        <v>1414</v>
      </c>
      <c r="E11">
        <v>1422</v>
      </c>
      <c r="F11">
        <v>1400</v>
      </c>
      <c r="G11">
        <v>1400</v>
      </c>
      <c r="H11">
        <v>1519</v>
      </c>
      <c r="I11">
        <v>1565</v>
      </c>
      <c r="J11">
        <v>1592</v>
      </c>
      <c r="K11">
        <v>1609</v>
      </c>
      <c r="L11">
        <v>1614</v>
      </c>
      <c r="M11">
        <v>1631</v>
      </c>
      <c r="N11">
        <v>1615</v>
      </c>
      <c r="O11">
        <v>1951</v>
      </c>
      <c r="P11">
        <v>2273</v>
      </c>
      <c r="Q11">
        <v>2376</v>
      </c>
      <c r="R11">
        <v>2460</v>
      </c>
      <c r="S11">
        <v>2540</v>
      </c>
      <c r="T11">
        <v>2506</v>
      </c>
      <c r="U11">
        <v>2595</v>
      </c>
      <c r="V11">
        <v>2727</v>
      </c>
      <c r="W11">
        <v>2817</v>
      </c>
      <c r="X11">
        <v>2875</v>
      </c>
      <c r="Y11">
        <v>44650</v>
      </c>
      <c r="Z11" t="s">
        <v>40</v>
      </c>
      <c r="AA11" s="26">
        <f t="shared" si="0"/>
        <v>1.1139705882352942</v>
      </c>
    </row>
    <row r="12" spans="1:27" x14ac:dyDescent="0.3">
      <c r="A12" t="s">
        <v>43</v>
      </c>
      <c r="B12">
        <v>940</v>
      </c>
      <c r="C12">
        <v>952</v>
      </c>
      <c r="D12">
        <v>954</v>
      </c>
      <c r="E12">
        <v>1330</v>
      </c>
      <c r="F12">
        <v>1335</v>
      </c>
      <c r="G12">
        <v>1401</v>
      </c>
      <c r="H12">
        <v>1442</v>
      </c>
      <c r="I12">
        <v>1466</v>
      </c>
      <c r="J12">
        <v>1463</v>
      </c>
      <c r="K12">
        <v>1555</v>
      </c>
      <c r="L12">
        <v>1745</v>
      </c>
      <c r="M12">
        <v>1679</v>
      </c>
      <c r="N12">
        <v>1700</v>
      </c>
      <c r="O12">
        <v>1734</v>
      </c>
      <c r="P12">
        <v>1812</v>
      </c>
      <c r="Q12">
        <v>1894</v>
      </c>
      <c r="R12">
        <v>2016</v>
      </c>
      <c r="S12">
        <v>2183</v>
      </c>
      <c r="T12">
        <v>2321</v>
      </c>
      <c r="U12">
        <v>2434</v>
      </c>
      <c r="V12">
        <v>2629</v>
      </c>
      <c r="W12">
        <v>2774</v>
      </c>
      <c r="X12">
        <v>3025</v>
      </c>
      <c r="Y12">
        <v>40784</v>
      </c>
      <c r="Z12" t="s">
        <v>33</v>
      </c>
      <c r="AA12" s="26">
        <f t="shared" si="0"/>
        <v>2.2180851063829787</v>
      </c>
    </row>
    <row r="13" spans="1:27" x14ac:dyDescent="0.3">
      <c r="A13" t="s">
        <v>44</v>
      </c>
      <c r="B13">
        <v>4797</v>
      </c>
      <c r="C13">
        <v>4539</v>
      </c>
      <c r="D13">
        <v>3857</v>
      </c>
      <c r="E13">
        <v>3917</v>
      </c>
      <c r="F13">
        <v>4022</v>
      </c>
      <c r="G13">
        <v>4124</v>
      </c>
      <c r="H13">
        <v>4244</v>
      </c>
      <c r="I13">
        <v>4538</v>
      </c>
      <c r="J13">
        <v>4822</v>
      </c>
      <c r="K13">
        <v>5114</v>
      </c>
      <c r="L13">
        <v>5447</v>
      </c>
      <c r="M13">
        <v>5718</v>
      </c>
      <c r="N13">
        <v>5997</v>
      </c>
      <c r="O13">
        <v>6121</v>
      </c>
      <c r="P13">
        <v>6344</v>
      </c>
      <c r="Q13">
        <v>6562</v>
      </c>
      <c r="R13">
        <v>7137</v>
      </c>
      <c r="S13">
        <v>7901</v>
      </c>
      <c r="T13">
        <v>9031</v>
      </c>
      <c r="U13">
        <v>10936</v>
      </c>
      <c r="V13">
        <v>11796</v>
      </c>
      <c r="W13">
        <v>12829</v>
      </c>
      <c r="X13">
        <v>13463</v>
      </c>
      <c r="Y13">
        <v>153256</v>
      </c>
      <c r="Z13" t="s">
        <v>28</v>
      </c>
      <c r="AA13" s="26">
        <f t="shared" si="0"/>
        <v>1.8065457577652699</v>
      </c>
    </row>
    <row r="14" spans="1:27" x14ac:dyDescent="0.3">
      <c r="A14" t="s">
        <v>45</v>
      </c>
      <c r="B14">
        <v>2718</v>
      </c>
      <c r="C14">
        <v>2419</v>
      </c>
      <c r="D14">
        <v>2111</v>
      </c>
      <c r="E14">
        <v>2025</v>
      </c>
      <c r="F14">
        <v>2063</v>
      </c>
      <c r="G14">
        <v>2119</v>
      </c>
      <c r="H14">
        <v>2253</v>
      </c>
      <c r="I14">
        <v>2441</v>
      </c>
      <c r="J14">
        <v>2509</v>
      </c>
      <c r="K14">
        <v>2645</v>
      </c>
      <c r="L14">
        <v>2716</v>
      </c>
      <c r="M14">
        <v>2791</v>
      </c>
      <c r="N14">
        <v>2655</v>
      </c>
      <c r="O14">
        <v>2711</v>
      </c>
      <c r="P14">
        <v>2650</v>
      </c>
      <c r="Q14">
        <v>2520</v>
      </c>
      <c r="R14">
        <v>2576</v>
      </c>
      <c r="S14">
        <v>2548</v>
      </c>
      <c r="T14">
        <v>2544</v>
      </c>
      <c r="U14">
        <v>2534</v>
      </c>
      <c r="V14">
        <v>2532</v>
      </c>
      <c r="W14">
        <v>2580</v>
      </c>
      <c r="X14">
        <v>2580</v>
      </c>
      <c r="Y14">
        <v>57240</v>
      </c>
      <c r="Z14" t="s">
        <v>28</v>
      </c>
      <c r="AA14" s="26">
        <f t="shared" si="0"/>
        <v>2.6857983811626195E-2</v>
      </c>
    </row>
    <row r="15" spans="1:27" x14ac:dyDescent="0.3">
      <c r="A15" t="s">
        <v>46</v>
      </c>
      <c r="B15">
        <v>5283</v>
      </c>
      <c r="C15">
        <v>5343</v>
      </c>
      <c r="D15">
        <v>5388</v>
      </c>
      <c r="E15">
        <v>5506</v>
      </c>
      <c r="F15">
        <v>6283</v>
      </c>
      <c r="G15">
        <v>6374</v>
      </c>
      <c r="H15">
        <v>6572</v>
      </c>
      <c r="I15">
        <v>6855</v>
      </c>
      <c r="J15">
        <v>7167</v>
      </c>
      <c r="K15">
        <v>7514</v>
      </c>
      <c r="L15">
        <v>8149</v>
      </c>
      <c r="M15">
        <v>8838</v>
      </c>
      <c r="N15">
        <v>9599</v>
      </c>
      <c r="O15">
        <v>10779</v>
      </c>
      <c r="P15">
        <v>12148</v>
      </c>
      <c r="Q15">
        <v>13445</v>
      </c>
      <c r="R15">
        <v>14713</v>
      </c>
      <c r="S15">
        <v>15911</v>
      </c>
      <c r="T15">
        <v>17109</v>
      </c>
      <c r="U15">
        <v>17999</v>
      </c>
      <c r="V15">
        <v>19004</v>
      </c>
      <c r="W15">
        <v>20122</v>
      </c>
      <c r="X15">
        <v>21326</v>
      </c>
      <c r="Y15">
        <v>251427</v>
      </c>
      <c r="Z15" t="s">
        <v>35</v>
      </c>
      <c r="AA15" s="26">
        <f t="shared" si="0"/>
        <v>3.0367215597198562</v>
      </c>
    </row>
    <row r="16" spans="1:27" x14ac:dyDescent="0.3">
      <c r="A16" t="s">
        <v>47</v>
      </c>
      <c r="B16">
        <v>6094</v>
      </c>
      <c r="C16">
        <v>6238</v>
      </c>
      <c r="D16">
        <v>6379</v>
      </c>
      <c r="E16">
        <v>6567</v>
      </c>
      <c r="F16">
        <v>6769</v>
      </c>
      <c r="G16">
        <v>6978</v>
      </c>
      <c r="H16">
        <v>7210</v>
      </c>
      <c r="I16">
        <v>7455</v>
      </c>
      <c r="J16">
        <v>7679</v>
      </c>
      <c r="K16">
        <v>8044</v>
      </c>
      <c r="L16">
        <v>8469</v>
      </c>
      <c r="M16">
        <v>8734</v>
      </c>
      <c r="N16">
        <v>9089</v>
      </c>
      <c r="O16">
        <v>9542</v>
      </c>
      <c r="P16">
        <v>10153</v>
      </c>
      <c r="Q16">
        <v>10402</v>
      </c>
      <c r="R16">
        <v>11102</v>
      </c>
      <c r="S16">
        <v>11655</v>
      </c>
      <c r="T16">
        <v>12024</v>
      </c>
      <c r="U16">
        <v>13703</v>
      </c>
      <c r="V16">
        <v>14305</v>
      </c>
      <c r="W16">
        <v>15042</v>
      </c>
      <c r="X16">
        <v>16045</v>
      </c>
      <c r="Y16">
        <v>219678</v>
      </c>
      <c r="Z16" t="s">
        <v>37</v>
      </c>
      <c r="AA16" s="26">
        <f t="shared" si="0"/>
        <v>1.6329176238923531</v>
      </c>
    </row>
    <row r="17" spans="1:29" x14ac:dyDescent="0.3">
      <c r="A17" t="s">
        <v>48</v>
      </c>
      <c r="B17">
        <v>68</v>
      </c>
      <c r="C17">
        <v>69</v>
      </c>
      <c r="D17">
        <v>71</v>
      </c>
      <c r="E17">
        <v>75</v>
      </c>
      <c r="F17">
        <v>77</v>
      </c>
      <c r="G17">
        <v>77</v>
      </c>
      <c r="H17">
        <v>78</v>
      </c>
      <c r="I17">
        <v>78</v>
      </c>
      <c r="J17">
        <v>78</v>
      </c>
      <c r="K17">
        <v>78</v>
      </c>
      <c r="L17">
        <v>79</v>
      </c>
      <c r="M17">
        <v>80</v>
      </c>
      <c r="N17">
        <v>82</v>
      </c>
      <c r="O17">
        <v>82</v>
      </c>
      <c r="P17">
        <v>79</v>
      </c>
      <c r="Q17">
        <v>79</v>
      </c>
      <c r="R17">
        <v>82</v>
      </c>
      <c r="S17">
        <v>86</v>
      </c>
      <c r="T17">
        <v>90</v>
      </c>
      <c r="U17">
        <v>71</v>
      </c>
      <c r="V17">
        <v>76</v>
      </c>
      <c r="W17">
        <v>72</v>
      </c>
      <c r="X17">
        <v>63</v>
      </c>
      <c r="Y17">
        <v>1770</v>
      </c>
      <c r="Z17" t="s">
        <v>30</v>
      </c>
      <c r="AA17" s="26">
        <f t="shared" si="0"/>
        <v>0.3235294117647059</v>
      </c>
    </row>
    <row r="18" spans="1:29" x14ac:dyDescent="0.3">
      <c r="A18" t="s">
        <v>49</v>
      </c>
      <c r="B18">
        <v>66</v>
      </c>
      <c r="C18">
        <v>68</v>
      </c>
      <c r="D18">
        <v>69</v>
      </c>
      <c r="E18">
        <v>71</v>
      </c>
      <c r="F18">
        <v>73</v>
      </c>
      <c r="G18">
        <v>74</v>
      </c>
      <c r="H18">
        <v>77</v>
      </c>
      <c r="I18">
        <v>77</v>
      </c>
      <c r="J18">
        <v>78</v>
      </c>
      <c r="K18">
        <v>79</v>
      </c>
      <c r="L18">
        <v>80</v>
      </c>
      <c r="M18">
        <v>81</v>
      </c>
      <c r="N18">
        <v>82</v>
      </c>
      <c r="O18">
        <v>83</v>
      </c>
      <c r="P18">
        <v>84</v>
      </c>
      <c r="Q18">
        <v>84</v>
      </c>
      <c r="R18">
        <v>85</v>
      </c>
      <c r="S18">
        <v>87</v>
      </c>
      <c r="T18">
        <v>88</v>
      </c>
      <c r="U18">
        <v>89</v>
      </c>
      <c r="V18">
        <v>90</v>
      </c>
      <c r="W18">
        <v>94</v>
      </c>
      <c r="X18">
        <v>97</v>
      </c>
      <c r="Y18">
        <v>1856</v>
      </c>
      <c r="Z18" t="s">
        <v>30</v>
      </c>
      <c r="AA18" s="26">
        <f t="shared" si="0"/>
        <v>0.46969696969696972</v>
      </c>
    </row>
    <row r="19" spans="1:29" x14ac:dyDescent="0.3">
      <c r="A19" t="s">
        <v>50</v>
      </c>
      <c r="B19">
        <v>14</v>
      </c>
      <c r="C19">
        <v>15</v>
      </c>
      <c r="D19">
        <v>15</v>
      </c>
      <c r="E19">
        <v>16</v>
      </c>
      <c r="F19">
        <v>15</v>
      </c>
      <c r="G19">
        <v>16</v>
      </c>
      <c r="H19">
        <v>17</v>
      </c>
      <c r="I19">
        <v>17</v>
      </c>
      <c r="J19">
        <v>11</v>
      </c>
      <c r="K19">
        <v>11</v>
      </c>
      <c r="L19">
        <v>14</v>
      </c>
      <c r="M19">
        <v>14</v>
      </c>
      <c r="N19">
        <v>15</v>
      </c>
      <c r="O19">
        <v>20</v>
      </c>
      <c r="P19">
        <v>22</v>
      </c>
      <c r="Q19">
        <v>24</v>
      </c>
      <c r="R19">
        <v>25</v>
      </c>
      <c r="S19">
        <v>26</v>
      </c>
      <c r="T19">
        <v>24</v>
      </c>
      <c r="U19">
        <v>25</v>
      </c>
      <c r="V19">
        <v>25</v>
      </c>
      <c r="W19">
        <v>24</v>
      </c>
      <c r="X19">
        <v>25</v>
      </c>
      <c r="Y19">
        <v>430</v>
      </c>
      <c r="Z19" t="s">
        <v>30</v>
      </c>
      <c r="AA19" s="26">
        <f t="shared" si="0"/>
        <v>0.8571428571428571</v>
      </c>
    </row>
    <row r="20" spans="1:29" x14ac:dyDescent="0.3">
      <c r="A20" t="s">
        <v>51</v>
      </c>
      <c r="B20">
        <v>57</v>
      </c>
      <c r="C20">
        <v>58</v>
      </c>
      <c r="D20">
        <v>63</v>
      </c>
      <c r="E20">
        <v>69</v>
      </c>
      <c r="F20">
        <v>74</v>
      </c>
      <c r="G20">
        <v>67</v>
      </c>
      <c r="H20">
        <v>45</v>
      </c>
      <c r="I20">
        <v>53</v>
      </c>
      <c r="J20">
        <v>78</v>
      </c>
      <c r="K20">
        <v>76</v>
      </c>
      <c r="L20">
        <v>78</v>
      </c>
      <c r="M20">
        <v>79</v>
      </c>
      <c r="N20">
        <v>81</v>
      </c>
      <c r="O20">
        <v>76</v>
      </c>
      <c r="P20">
        <v>77</v>
      </c>
      <c r="Q20">
        <v>79</v>
      </c>
      <c r="R20">
        <v>74</v>
      </c>
      <c r="S20">
        <v>73</v>
      </c>
      <c r="T20">
        <v>62</v>
      </c>
      <c r="U20">
        <v>56</v>
      </c>
      <c r="V20">
        <v>61</v>
      </c>
      <c r="W20">
        <v>50</v>
      </c>
      <c r="X20">
        <v>53</v>
      </c>
      <c r="Y20">
        <v>1539</v>
      </c>
      <c r="Z20" t="s">
        <v>30</v>
      </c>
      <c r="AA20" s="26">
        <f t="shared" si="0"/>
        <v>0.42105263157894735</v>
      </c>
    </row>
    <row r="21" spans="1:29" x14ac:dyDescent="0.3">
      <c r="A21" t="s">
        <v>52</v>
      </c>
      <c r="B21">
        <v>929</v>
      </c>
      <c r="C21">
        <v>941</v>
      </c>
      <c r="D21">
        <v>997</v>
      </c>
      <c r="E21">
        <v>1283</v>
      </c>
      <c r="F21">
        <v>1342</v>
      </c>
      <c r="G21">
        <v>1431</v>
      </c>
      <c r="H21">
        <v>1625</v>
      </c>
      <c r="I21">
        <v>1598</v>
      </c>
      <c r="J21">
        <v>1651</v>
      </c>
      <c r="K21">
        <v>1671</v>
      </c>
      <c r="L21">
        <v>1721</v>
      </c>
      <c r="M21">
        <v>1724</v>
      </c>
      <c r="N21">
        <v>1861</v>
      </c>
      <c r="O21">
        <v>1903</v>
      </c>
      <c r="P21">
        <v>1930</v>
      </c>
      <c r="Q21">
        <v>2003</v>
      </c>
      <c r="R21">
        <v>2088</v>
      </c>
      <c r="S21">
        <v>2311</v>
      </c>
      <c r="T21">
        <v>2370</v>
      </c>
      <c r="U21">
        <v>2373</v>
      </c>
      <c r="V21">
        <v>2402</v>
      </c>
      <c r="W21">
        <v>2476</v>
      </c>
      <c r="X21">
        <v>2636</v>
      </c>
      <c r="Y21">
        <v>41266</v>
      </c>
      <c r="Z21" t="s">
        <v>33</v>
      </c>
      <c r="AA21" s="26">
        <f t="shared" si="0"/>
        <v>1.83745963401507</v>
      </c>
    </row>
    <row r="22" spans="1:29" x14ac:dyDescent="0.3">
      <c r="A22" t="s">
        <v>53</v>
      </c>
      <c r="B22">
        <v>7932</v>
      </c>
      <c r="C22">
        <v>8173</v>
      </c>
      <c r="D22">
        <v>8391</v>
      </c>
      <c r="E22">
        <v>8554</v>
      </c>
      <c r="F22">
        <v>8909</v>
      </c>
      <c r="G22">
        <v>9168</v>
      </c>
      <c r="H22">
        <v>9282</v>
      </c>
      <c r="I22">
        <v>9387</v>
      </c>
      <c r="J22">
        <v>9389</v>
      </c>
      <c r="K22">
        <v>9423</v>
      </c>
      <c r="L22">
        <v>9551</v>
      </c>
      <c r="M22">
        <v>9724</v>
      </c>
      <c r="N22">
        <v>10011</v>
      </c>
      <c r="O22">
        <v>10351</v>
      </c>
      <c r="P22">
        <v>10774</v>
      </c>
      <c r="Q22">
        <v>11282</v>
      </c>
      <c r="R22">
        <v>11855</v>
      </c>
      <c r="S22">
        <v>12599</v>
      </c>
      <c r="T22">
        <v>13348</v>
      </c>
      <c r="U22">
        <v>13394</v>
      </c>
      <c r="V22">
        <v>14077</v>
      </c>
      <c r="W22">
        <v>14301</v>
      </c>
      <c r="X22">
        <v>14000</v>
      </c>
      <c r="Y22">
        <v>243875</v>
      </c>
      <c r="Z22" t="s">
        <v>40</v>
      </c>
      <c r="AA22" s="26">
        <f t="shared" si="0"/>
        <v>0.80295007564296517</v>
      </c>
    </row>
    <row r="23" spans="1:29" x14ac:dyDescent="0.3">
      <c r="A23" t="s">
        <v>54</v>
      </c>
      <c r="B23">
        <v>7758</v>
      </c>
      <c r="C23">
        <v>7789</v>
      </c>
      <c r="D23">
        <v>8054</v>
      </c>
      <c r="E23">
        <v>8310</v>
      </c>
      <c r="F23">
        <v>8713</v>
      </c>
      <c r="G23">
        <v>10309</v>
      </c>
      <c r="H23">
        <v>11377</v>
      </c>
      <c r="I23">
        <v>11931</v>
      </c>
      <c r="J23">
        <v>12330</v>
      </c>
      <c r="K23">
        <v>13234</v>
      </c>
      <c r="L23">
        <v>13512</v>
      </c>
      <c r="M23">
        <v>13946</v>
      </c>
      <c r="N23">
        <v>14573</v>
      </c>
      <c r="O23">
        <v>16934</v>
      </c>
      <c r="P23">
        <v>18500</v>
      </c>
      <c r="Q23">
        <v>20850</v>
      </c>
      <c r="R23">
        <v>22427</v>
      </c>
      <c r="S23">
        <v>23668</v>
      </c>
      <c r="T23">
        <v>25573</v>
      </c>
      <c r="U23">
        <v>30723</v>
      </c>
      <c r="V23">
        <v>33265</v>
      </c>
      <c r="W23">
        <v>33307</v>
      </c>
      <c r="X23">
        <v>34733</v>
      </c>
      <c r="Y23">
        <v>401816</v>
      </c>
      <c r="Z23" t="s">
        <v>40</v>
      </c>
      <c r="AA23" s="26">
        <f t="shared" si="0"/>
        <v>3.4770559422531582</v>
      </c>
    </row>
    <row r="24" spans="1:29" x14ac:dyDescent="0.3">
      <c r="A24" t="s">
        <v>55</v>
      </c>
      <c r="B24">
        <v>37</v>
      </c>
      <c r="C24">
        <v>45</v>
      </c>
      <c r="D24">
        <v>48</v>
      </c>
      <c r="E24">
        <v>46</v>
      </c>
      <c r="F24">
        <v>48</v>
      </c>
      <c r="G24">
        <v>49</v>
      </c>
      <c r="H24">
        <v>42</v>
      </c>
      <c r="I24">
        <v>42</v>
      </c>
      <c r="J24">
        <v>44</v>
      </c>
      <c r="K24">
        <v>43</v>
      </c>
      <c r="L24">
        <v>45</v>
      </c>
      <c r="M24">
        <v>42</v>
      </c>
      <c r="N24">
        <v>46</v>
      </c>
      <c r="O24">
        <v>50</v>
      </c>
      <c r="P24">
        <v>67</v>
      </c>
      <c r="Q24">
        <v>54</v>
      </c>
      <c r="R24">
        <v>59</v>
      </c>
      <c r="S24">
        <v>61</v>
      </c>
      <c r="T24">
        <v>84</v>
      </c>
      <c r="U24">
        <v>74</v>
      </c>
      <c r="V24">
        <v>87</v>
      </c>
      <c r="W24">
        <v>87</v>
      </c>
      <c r="X24">
        <v>81</v>
      </c>
      <c r="Y24">
        <v>1281</v>
      </c>
      <c r="Z24" t="s">
        <v>30</v>
      </c>
      <c r="AA24" s="26">
        <f t="shared" si="0"/>
        <v>1.3513513513513513</v>
      </c>
    </row>
    <row r="25" spans="1:29" x14ac:dyDescent="0.3">
      <c r="A25" t="s">
        <v>56</v>
      </c>
      <c r="B25">
        <v>4988</v>
      </c>
      <c r="C25">
        <v>4622</v>
      </c>
      <c r="D25">
        <v>4752</v>
      </c>
      <c r="E25">
        <v>4784</v>
      </c>
      <c r="F25">
        <v>5474</v>
      </c>
      <c r="G25">
        <v>6277</v>
      </c>
      <c r="H25">
        <v>6540</v>
      </c>
      <c r="I25">
        <v>6651</v>
      </c>
      <c r="J25">
        <v>6787</v>
      </c>
      <c r="K25">
        <v>6831</v>
      </c>
      <c r="L25">
        <v>6968</v>
      </c>
      <c r="M25">
        <v>7005</v>
      </c>
      <c r="N25">
        <v>7049</v>
      </c>
      <c r="O25">
        <v>7132</v>
      </c>
      <c r="P25">
        <v>7244</v>
      </c>
      <c r="Q25">
        <v>7556</v>
      </c>
      <c r="R25">
        <v>7742</v>
      </c>
      <c r="S25">
        <v>8362</v>
      </c>
      <c r="T25">
        <v>8759</v>
      </c>
      <c r="U25">
        <v>9790</v>
      </c>
      <c r="V25">
        <v>10107</v>
      </c>
      <c r="W25">
        <v>10317</v>
      </c>
      <c r="X25">
        <v>10808</v>
      </c>
      <c r="Y25">
        <v>166545</v>
      </c>
      <c r="Z25" t="s">
        <v>28</v>
      </c>
      <c r="AA25" s="26">
        <f t="shared" si="0"/>
        <v>1.1668003207698476</v>
      </c>
    </row>
    <row r="26" spans="1:29" x14ac:dyDescent="0.3">
      <c r="A26" t="s">
        <v>57</v>
      </c>
      <c r="B26">
        <v>0</v>
      </c>
      <c r="C26">
        <v>0</v>
      </c>
      <c r="D26">
        <v>0</v>
      </c>
      <c r="E26">
        <v>0</v>
      </c>
      <c r="F26">
        <v>0</v>
      </c>
      <c r="G26">
        <v>0</v>
      </c>
      <c r="H26">
        <v>0</v>
      </c>
      <c r="I26">
        <v>0</v>
      </c>
      <c r="J26">
        <v>0</v>
      </c>
      <c r="K26">
        <v>0</v>
      </c>
      <c r="L26">
        <v>0</v>
      </c>
      <c r="M26">
        <v>0</v>
      </c>
      <c r="N26">
        <v>0</v>
      </c>
      <c r="O26">
        <v>4207</v>
      </c>
      <c r="P26">
        <v>4442</v>
      </c>
      <c r="Q26">
        <v>4681</v>
      </c>
      <c r="R26">
        <v>4965</v>
      </c>
      <c r="S26">
        <v>5416</v>
      </c>
      <c r="T26">
        <v>5590</v>
      </c>
      <c r="U26">
        <v>5765</v>
      </c>
      <c r="V26">
        <v>5808</v>
      </c>
      <c r="W26">
        <v>5855</v>
      </c>
      <c r="X26">
        <v>5840</v>
      </c>
      <c r="Y26">
        <v>52569</v>
      </c>
      <c r="Z26" t="s">
        <v>28</v>
      </c>
      <c r="AA26" s="26">
        <f>(MAX(B26:X26)-B26)/O26</f>
        <v>1.3917280722605181</v>
      </c>
      <c r="AC26" s="27"/>
    </row>
    <row r="27" spans="1:29" x14ac:dyDescent="0.3">
      <c r="A27" t="s">
        <v>58</v>
      </c>
      <c r="B27">
        <v>90</v>
      </c>
      <c r="C27">
        <v>79</v>
      </c>
      <c r="D27">
        <v>84</v>
      </c>
      <c r="E27">
        <v>86</v>
      </c>
      <c r="F27">
        <v>87</v>
      </c>
      <c r="G27">
        <v>89</v>
      </c>
      <c r="H27">
        <v>91</v>
      </c>
      <c r="I27">
        <v>96</v>
      </c>
      <c r="J27">
        <v>100</v>
      </c>
      <c r="K27">
        <v>104</v>
      </c>
      <c r="L27">
        <v>111</v>
      </c>
      <c r="M27">
        <v>118</v>
      </c>
      <c r="N27">
        <v>130</v>
      </c>
      <c r="O27">
        <v>141</v>
      </c>
      <c r="P27">
        <v>152</v>
      </c>
      <c r="Q27">
        <v>160</v>
      </c>
      <c r="R27">
        <v>174</v>
      </c>
      <c r="S27">
        <v>185</v>
      </c>
      <c r="T27">
        <v>199</v>
      </c>
      <c r="U27">
        <v>206</v>
      </c>
      <c r="V27">
        <v>217</v>
      </c>
      <c r="W27">
        <v>230</v>
      </c>
      <c r="X27">
        <v>247</v>
      </c>
      <c r="Y27">
        <v>3176</v>
      </c>
      <c r="Z27" t="s">
        <v>30</v>
      </c>
      <c r="AA27" s="26">
        <f t="shared" si="0"/>
        <v>1.7444444444444445</v>
      </c>
    </row>
    <row r="28" spans="1:29" x14ac:dyDescent="0.3">
      <c r="A28" t="s">
        <v>59</v>
      </c>
      <c r="B28">
        <v>14648</v>
      </c>
      <c r="C28">
        <v>15288</v>
      </c>
      <c r="D28">
        <v>15943</v>
      </c>
      <c r="E28">
        <v>16512</v>
      </c>
      <c r="F28">
        <v>17356</v>
      </c>
      <c r="G28">
        <v>18094</v>
      </c>
      <c r="H28">
        <v>18861</v>
      </c>
      <c r="I28">
        <v>19537</v>
      </c>
      <c r="J28">
        <v>20203</v>
      </c>
      <c r="K28">
        <v>21031</v>
      </c>
      <c r="L28">
        <v>22556</v>
      </c>
      <c r="M28">
        <v>23330</v>
      </c>
      <c r="N28">
        <v>24194</v>
      </c>
      <c r="O28">
        <v>25198</v>
      </c>
      <c r="P28">
        <v>26387</v>
      </c>
      <c r="Q28">
        <v>27770</v>
      </c>
      <c r="R28">
        <v>29052</v>
      </c>
      <c r="S28">
        <v>30519</v>
      </c>
      <c r="T28">
        <v>31864</v>
      </c>
      <c r="U28">
        <v>31359</v>
      </c>
      <c r="V28">
        <v>33874</v>
      </c>
      <c r="W28">
        <v>36242</v>
      </c>
      <c r="X28">
        <v>38780</v>
      </c>
      <c r="Y28">
        <v>558598</v>
      </c>
      <c r="Z28" t="s">
        <v>40</v>
      </c>
      <c r="AA28" s="26">
        <f t="shared" si="0"/>
        <v>1.6474604041507372</v>
      </c>
    </row>
    <row r="29" spans="1:29" x14ac:dyDescent="0.3">
      <c r="A29" t="s">
        <v>60</v>
      </c>
      <c r="B29">
        <v>1066</v>
      </c>
      <c r="C29">
        <v>1079</v>
      </c>
      <c r="D29">
        <v>1188</v>
      </c>
      <c r="E29">
        <v>1195</v>
      </c>
      <c r="F29">
        <v>1206</v>
      </c>
      <c r="G29">
        <v>1213</v>
      </c>
      <c r="H29">
        <v>1221</v>
      </c>
      <c r="I29">
        <v>1230</v>
      </c>
      <c r="J29">
        <v>1377</v>
      </c>
      <c r="K29">
        <v>1383</v>
      </c>
      <c r="L29">
        <v>1417</v>
      </c>
      <c r="M29">
        <v>1478</v>
      </c>
      <c r="N29">
        <v>1550</v>
      </c>
      <c r="O29">
        <v>1565</v>
      </c>
      <c r="P29">
        <v>1656</v>
      </c>
      <c r="Q29">
        <v>1692</v>
      </c>
      <c r="R29">
        <v>1742</v>
      </c>
      <c r="S29">
        <v>1792</v>
      </c>
      <c r="T29">
        <v>1845</v>
      </c>
      <c r="U29">
        <v>1797</v>
      </c>
      <c r="V29">
        <v>1856</v>
      </c>
      <c r="W29">
        <v>1859</v>
      </c>
      <c r="X29">
        <v>1898</v>
      </c>
      <c r="Y29">
        <v>34305</v>
      </c>
      <c r="Z29" t="s">
        <v>40</v>
      </c>
      <c r="AA29" s="26">
        <f t="shared" si="0"/>
        <v>0.78048780487804881</v>
      </c>
    </row>
    <row r="30" spans="1:29" x14ac:dyDescent="0.3">
      <c r="A30" t="s">
        <v>61</v>
      </c>
      <c r="B30">
        <v>3515</v>
      </c>
      <c r="C30">
        <v>3600</v>
      </c>
      <c r="D30">
        <v>3686</v>
      </c>
      <c r="E30">
        <v>3790</v>
      </c>
      <c r="F30">
        <v>3891</v>
      </c>
      <c r="G30">
        <v>3983</v>
      </c>
      <c r="H30">
        <v>4087</v>
      </c>
      <c r="I30">
        <v>4176</v>
      </c>
      <c r="J30">
        <v>4300</v>
      </c>
      <c r="K30">
        <v>4471</v>
      </c>
      <c r="L30">
        <v>4672</v>
      </c>
      <c r="M30">
        <v>4859</v>
      </c>
      <c r="N30">
        <v>4906</v>
      </c>
      <c r="O30">
        <v>4961</v>
      </c>
      <c r="P30">
        <v>5038</v>
      </c>
      <c r="Q30">
        <v>5183</v>
      </c>
      <c r="R30">
        <v>5389</v>
      </c>
      <c r="S30">
        <v>5607</v>
      </c>
      <c r="T30">
        <v>5869</v>
      </c>
      <c r="U30">
        <v>6165</v>
      </c>
      <c r="V30">
        <v>6414</v>
      </c>
      <c r="W30">
        <v>6969</v>
      </c>
      <c r="X30">
        <v>7650</v>
      </c>
      <c r="Y30">
        <v>113181</v>
      </c>
      <c r="Z30" t="s">
        <v>33</v>
      </c>
      <c r="AA30" s="26">
        <f t="shared" si="0"/>
        <v>1.1763869132290186</v>
      </c>
    </row>
    <row r="31" spans="1:29" x14ac:dyDescent="0.3">
      <c r="A31" t="s">
        <v>62</v>
      </c>
      <c r="B31">
        <v>23</v>
      </c>
      <c r="C31">
        <v>26</v>
      </c>
      <c r="D31">
        <v>25</v>
      </c>
      <c r="E31">
        <v>24</v>
      </c>
      <c r="F31">
        <v>20</v>
      </c>
      <c r="G31">
        <v>23</v>
      </c>
      <c r="H31">
        <v>24</v>
      </c>
      <c r="I31">
        <v>26</v>
      </c>
      <c r="J31">
        <v>24</v>
      </c>
      <c r="K31">
        <v>25</v>
      </c>
      <c r="L31">
        <v>26</v>
      </c>
      <c r="M31">
        <v>21</v>
      </c>
      <c r="N31">
        <v>14</v>
      </c>
      <c r="O31">
        <v>16</v>
      </c>
      <c r="P31">
        <v>15</v>
      </c>
      <c r="Q31">
        <v>16</v>
      </c>
      <c r="R31">
        <v>17</v>
      </c>
      <c r="S31">
        <v>18</v>
      </c>
      <c r="T31">
        <v>19</v>
      </c>
      <c r="U31">
        <v>15</v>
      </c>
      <c r="V31">
        <v>17</v>
      </c>
      <c r="W31">
        <v>17</v>
      </c>
      <c r="X31">
        <v>18</v>
      </c>
      <c r="Y31">
        <v>469</v>
      </c>
      <c r="Z31" t="s">
        <v>63</v>
      </c>
      <c r="AA31" s="26">
        <f t="shared" si="0"/>
        <v>0.13043478260869565</v>
      </c>
    </row>
    <row r="32" spans="1:29" x14ac:dyDescent="0.3">
      <c r="A32" t="s">
        <v>64</v>
      </c>
      <c r="B32">
        <v>43</v>
      </c>
      <c r="C32">
        <v>43</v>
      </c>
      <c r="D32">
        <v>44</v>
      </c>
      <c r="E32">
        <v>43</v>
      </c>
      <c r="F32">
        <v>46</v>
      </c>
      <c r="G32">
        <v>46</v>
      </c>
      <c r="H32">
        <v>47</v>
      </c>
      <c r="I32">
        <v>47</v>
      </c>
      <c r="J32">
        <v>46</v>
      </c>
      <c r="K32">
        <v>45</v>
      </c>
      <c r="L32">
        <v>45</v>
      </c>
      <c r="M32">
        <v>44</v>
      </c>
      <c r="N32">
        <v>44</v>
      </c>
      <c r="O32">
        <v>44</v>
      </c>
      <c r="P32">
        <v>43</v>
      </c>
      <c r="Q32">
        <v>36</v>
      </c>
      <c r="R32">
        <v>42</v>
      </c>
      <c r="S32">
        <v>45</v>
      </c>
      <c r="T32">
        <v>49</v>
      </c>
      <c r="U32">
        <v>52</v>
      </c>
      <c r="V32">
        <v>57</v>
      </c>
      <c r="W32">
        <v>56</v>
      </c>
      <c r="X32" t="s">
        <v>65</v>
      </c>
      <c r="Y32">
        <v>1007</v>
      </c>
      <c r="Z32" t="s">
        <v>40</v>
      </c>
      <c r="AA32" s="26">
        <f t="shared" si="0"/>
        <v>0.32558139534883723</v>
      </c>
    </row>
    <row r="33" spans="1:27" x14ac:dyDescent="0.3">
      <c r="A33" t="s">
        <v>66</v>
      </c>
      <c r="B33">
        <v>0</v>
      </c>
      <c r="C33">
        <v>0</v>
      </c>
      <c r="D33">
        <v>0</v>
      </c>
      <c r="E33">
        <v>0</v>
      </c>
      <c r="F33">
        <v>0</v>
      </c>
      <c r="G33">
        <v>0</v>
      </c>
      <c r="H33">
        <v>0</v>
      </c>
      <c r="I33">
        <v>0</v>
      </c>
      <c r="J33">
        <v>0</v>
      </c>
      <c r="K33">
        <v>0</v>
      </c>
      <c r="L33">
        <v>0</v>
      </c>
      <c r="M33">
        <v>0</v>
      </c>
      <c r="N33">
        <v>0</v>
      </c>
      <c r="O33">
        <v>0</v>
      </c>
      <c r="P33">
        <v>0</v>
      </c>
      <c r="Q33">
        <v>0</v>
      </c>
      <c r="R33">
        <v>0</v>
      </c>
      <c r="S33">
        <v>0</v>
      </c>
      <c r="T33">
        <v>0</v>
      </c>
      <c r="U33">
        <v>15</v>
      </c>
      <c r="V33">
        <v>29</v>
      </c>
      <c r="W33">
        <v>31</v>
      </c>
      <c r="X33">
        <v>29.31</v>
      </c>
      <c r="Y33">
        <v>104.31</v>
      </c>
      <c r="Z33" t="s">
        <v>40</v>
      </c>
      <c r="AA33" s="26">
        <f>(MAX(B33:X33)-B33)/U33</f>
        <v>2.0666666666666669</v>
      </c>
    </row>
    <row r="34" spans="1:27" x14ac:dyDescent="0.3">
      <c r="A34" t="s">
        <v>67</v>
      </c>
      <c r="B34">
        <v>8</v>
      </c>
      <c r="C34">
        <v>8</v>
      </c>
      <c r="D34">
        <v>8</v>
      </c>
      <c r="E34">
        <v>4</v>
      </c>
      <c r="F34">
        <v>5</v>
      </c>
      <c r="G34">
        <v>5</v>
      </c>
      <c r="H34">
        <v>10</v>
      </c>
      <c r="I34">
        <v>10</v>
      </c>
      <c r="J34">
        <v>10</v>
      </c>
      <c r="K34">
        <v>11</v>
      </c>
      <c r="L34">
        <v>11</v>
      </c>
      <c r="M34">
        <v>11</v>
      </c>
      <c r="N34">
        <v>11</v>
      </c>
      <c r="O34">
        <v>9</v>
      </c>
      <c r="P34">
        <v>9</v>
      </c>
      <c r="Q34">
        <v>8</v>
      </c>
      <c r="R34">
        <v>8</v>
      </c>
      <c r="S34">
        <v>1</v>
      </c>
      <c r="T34">
        <v>1</v>
      </c>
      <c r="U34">
        <v>1</v>
      </c>
      <c r="V34">
        <v>2</v>
      </c>
      <c r="W34">
        <v>2</v>
      </c>
      <c r="X34">
        <v>2</v>
      </c>
      <c r="Y34">
        <v>155</v>
      </c>
      <c r="Z34" t="s">
        <v>37</v>
      </c>
      <c r="AA34" s="26">
        <f t="shared" si="0"/>
        <v>0.375</v>
      </c>
    </row>
    <row r="35" spans="1:27" x14ac:dyDescent="0.3">
      <c r="A35" t="s">
        <v>68</v>
      </c>
      <c r="B35">
        <v>1</v>
      </c>
      <c r="C35">
        <v>1</v>
      </c>
      <c r="D35">
        <v>1</v>
      </c>
      <c r="E35">
        <v>1</v>
      </c>
      <c r="F35">
        <v>1</v>
      </c>
      <c r="G35">
        <v>1</v>
      </c>
      <c r="H35">
        <v>1</v>
      </c>
      <c r="I35">
        <v>1</v>
      </c>
      <c r="J35">
        <v>1</v>
      </c>
      <c r="K35">
        <v>1</v>
      </c>
      <c r="L35">
        <v>1</v>
      </c>
      <c r="M35">
        <v>1</v>
      </c>
      <c r="N35">
        <v>1</v>
      </c>
      <c r="O35">
        <v>1</v>
      </c>
      <c r="P35">
        <v>0</v>
      </c>
      <c r="Q35">
        <v>0</v>
      </c>
      <c r="R35">
        <v>0</v>
      </c>
      <c r="S35">
        <v>0</v>
      </c>
      <c r="T35">
        <v>0</v>
      </c>
      <c r="U35">
        <v>0</v>
      </c>
      <c r="V35">
        <v>0</v>
      </c>
      <c r="W35">
        <v>0</v>
      </c>
      <c r="X35">
        <v>0</v>
      </c>
      <c r="Y35">
        <v>14</v>
      </c>
      <c r="Z35" t="s">
        <v>37</v>
      </c>
      <c r="AA35" s="26">
        <f t="shared" si="0"/>
        <v>0</v>
      </c>
    </row>
    <row r="36" spans="1:27" x14ac:dyDescent="0.3">
      <c r="A36" t="s">
        <v>69</v>
      </c>
      <c r="B36">
        <v>294</v>
      </c>
      <c r="C36">
        <v>296</v>
      </c>
      <c r="D36">
        <v>299</v>
      </c>
      <c r="E36">
        <v>303</v>
      </c>
      <c r="F36">
        <v>310</v>
      </c>
      <c r="G36">
        <v>288</v>
      </c>
      <c r="H36">
        <v>445</v>
      </c>
      <c r="I36">
        <v>450</v>
      </c>
      <c r="J36">
        <v>466</v>
      </c>
      <c r="K36">
        <v>480</v>
      </c>
      <c r="L36">
        <v>502</v>
      </c>
      <c r="M36">
        <v>287</v>
      </c>
      <c r="N36">
        <v>284</v>
      </c>
      <c r="O36">
        <v>280</v>
      </c>
      <c r="P36">
        <v>281</v>
      </c>
      <c r="Q36">
        <v>279</v>
      </c>
      <c r="R36">
        <v>279</v>
      </c>
      <c r="S36">
        <v>300</v>
      </c>
      <c r="T36">
        <v>300</v>
      </c>
      <c r="U36">
        <v>450</v>
      </c>
      <c r="V36">
        <v>450</v>
      </c>
      <c r="W36">
        <v>488</v>
      </c>
      <c r="X36">
        <v>488</v>
      </c>
      <c r="Y36">
        <v>8299</v>
      </c>
      <c r="Z36" t="s">
        <v>40</v>
      </c>
      <c r="AA36" s="26">
        <f t="shared" si="0"/>
        <v>0.70748299319727892</v>
      </c>
    </row>
    <row r="37" spans="1:27" x14ac:dyDescent="0.3">
      <c r="A37" t="s">
        <v>70</v>
      </c>
      <c r="B37">
        <v>2</v>
      </c>
      <c r="C37">
        <v>2</v>
      </c>
      <c r="D37">
        <v>1</v>
      </c>
      <c r="E37">
        <v>1</v>
      </c>
      <c r="F37">
        <v>2</v>
      </c>
      <c r="G37">
        <v>2</v>
      </c>
      <c r="H37">
        <v>2</v>
      </c>
      <c r="I37">
        <v>2</v>
      </c>
      <c r="J37">
        <v>2</v>
      </c>
      <c r="K37">
        <v>2</v>
      </c>
      <c r="L37">
        <v>2</v>
      </c>
      <c r="M37">
        <v>2</v>
      </c>
      <c r="N37">
        <v>6</v>
      </c>
      <c r="O37">
        <v>4</v>
      </c>
      <c r="P37">
        <v>3</v>
      </c>
      <c r="Q37">
        <v>3</v>
      </c>
      <c r="R37">
        <v>3</v>
      </c>
      <c r="S37">
        <v>4</v>
      </c>
      <c r="T37">
        <v>4</v>
      </c>
      <c r="U37">
        <v>4</v>
      </c>
      <c r="V37">
        <v>0.42</v>
      </c>
      <c r="W37">
        <v>0.41</v>
      </c>
      <c r="X37">
        <v>0.39</v>
      </c>
      <c r="Y37">
        <v>54.22</v>
      </c>
      <c r="Z37" t="s">
        <v>63</v>
      </c>
      <c r="AA37" s="26">
        <f t="shared" si="0"/>
        <v>2</v>
      </c>
    </row>
    <row r="38" spans="1:27" x14ac:dyDescent="0.3">
      <c r="A38" t="s">
        <v>71</v>
      </c>
      <c r="B38">
        <v>37</v>
      </c>
      <c r="C38">
        <v>37</v>
      </c>
      <c r="D38">
        <v>40</v>
      </c>
      <c r="E38">
        <v>41</v>
      </c>
      <c r="F38">
        <v>43</v>
      </c>
      <c r="G38">
        <v>45</v>
      </c>
      <c r="H38">
        <v>46</v>
      </c>
      <c r="I38">
        <v>46</v>
      </c>
      <c r="J38">
        <v>46</v>
      </c>
      <c r="K38">
        <v>47</v>
      </c>
      <c r="L38">
        <v>45</v>
      </c>
      <c r="M38">
        <v>47</v>
      </c>
      <c r="N38">
        <v>47</v>
      </c>
      <c r="O38">
        <v>48</v>
      </c>
      <c r="P38">
        <v>48</v>
      </c>
      <c r="Q38">
        <v>48</v>
      </c>
      <c r="R38">
        <v>49</v>
      </c>
      <c r="S38">
        <v>49</v>
      </c>
      <c r="T38">
        <v>50</v>
      </c>
      <c r="U38">
        <v>50</v>
      </c>
      <c r="V38">
        <v>50</v>
      </c>
      <c r="W38">
        <v>50</v>
      </c>
      <c r="X38">
        <v>50</v>
      </c>
      <c r="Y38">
        <v>1059</v>
      </c>
      <c r="Z38" t="s">
        <v>28</v>
      </c>
      <c r="AA38" s="26">
        <f t="shared" si="0"/>
        <v>0.35135135135135137</v>
      </c>
    </row>
    <row r="39" spans="1:27" x14ac:dyDescent="0.3">
      <c r="A39" t="s">
        <v>72</v>
      </c>
      <c r="B39">
        <v>84406</v>
      </c>
      <c r="C39">
        <v>86159</v>
      </c>
      <c r="D39">
        <v>88082</v>
      </c>
      <c r="E39">
        <v>92484</v>
      </c>
      <c r="F39">
        <v>97066</v>
      </c>
      <c r="G39">
        <v>102580</v>
      </c>
      <c r="H39">
        <v>107934</v>
      </c>
      <c r="I39">
        <v>112183</v>
      </c>
      <c r="J39">
        <v>116425</v>
      </c>
      <c r="K39">
        <v>121848</v>
      </c>
      <c r="L39">
        <v>127904</v>
      </c>
      <c r="M39">
        <v>132431</v>
      </c>
      <c r="N39">
        <v>137685</v>
      </c>
      <c r="O39">
        <v>146314</v>
      </c>
      <c r="P39">
        <v>155491</v>
      </c>
      <c r="Q39">
        <v>165404</v>
      </c>
      <c r="R39">
        <v>176347</v>
      </c>
      <c r="S39">
        <v>187749</v>
      </c>
      <c r="T39">
        <v>198440</v>
      </c>
      <c r="U39">
        <v>209960</v>
      </c>
      <c r="V39">
        <v>222069</v>
      </c>
      <c r="W39">
        <v>230577</v>
      </c>
      <c r="X39">
        <v>239299</v>
      </c>
      <c r="Y39">
        <v>3338837</v>
      </c>
      <c r="AA39" s="26">
        <f t="shared" si="0"/>
        <v>1.8350946615169537</v>
      </c>
    </row>
    <row r="43" spans="1:27" x14ac:dyDescent="0.3">
      <c r="A43" t="s">
        <v>1</v>
      </c>
      <c r="B43" t="s">
        <v>2</v>
      </c>
      <c r="C43" t="s">
        <v>3</v>
      </c>
      <c r="D43" t="s">
        <v>4</v>
      </c>
      <c r="E43" t="s">
        <v>5</v>
      </c>
      <c r="F43" t="s">
        <v>6</v>
      </c>
      <c r="G43" t="s">
        <v>7</v>
      </c>
      <c r="H43" t="s">
        <v>8</v>
      </c>
      <c r="I43" t="s">
        <v>9</v>
      </c>
      <c r="J43" t="s">
        <v>10</v>
      </c>
      <c r="K43" t="s">
        <v>11</v>
      </c>
      <c r="L43" t="s">
        <v>12</v>
      </c>
      <c r="M43" t="s">
        <v>13</v>
      </c>
      <c r="N43" t="s">
        <v>14</v>
      </c>
      <c r="O43" t="s">
        <v>15</v>
      </c>
      <c r="P43" t="s">
        <v>16</v>
      </c>
      <c r="Q43" t="s">
        <v>17</v>
      </c>
      <c r="R43" t="s">
        <v>18</v>
      </c>
      <c r="S43" t="s">
        <v>19</v>
      </c>
      <c r="T43" t="s">
        <v>20</v>
      </c>
      <c r="U43" t="s">
        <v>21</v>
      </c>
      <c r="V43" t="s">
        <v>22</v>
      </c>
      <c r="W43" t="s">
        <v>23</v>
      </c>
    </row>
    <row r="44" spans="1:27" x14ac:dyDescent="0.3">
      <c r="A44">
        <v>84406</v>
      </c>
      <c r="B44">
        <v>86159</v>
      </c>
      <c r="C44">
        <v>88082</v>
      </c>
      <c r="D44">
        <v>92484</v>
      </c>
      <c r="E44">
        <v>97066</v>
      </c>
      <c r="F44">
        <v>102580</v>
      </c>
      <c r="G44">
        <v>107934</v>
      </c>
      <c r="H44">
        <v>112183</v>
      </c>
      <c r="I44">
        <v>116425</v>
      </c>
      <c r="J44">
        <v>121848</v>
      </c>
      <c r="K44">
        <v>127904</v>
      </c>
      <c r="L44">
        <v>132431</v>
      </c>
      <c r="M44">
        <v>137685</v>
      </c>
      <c r="N44">
        <v>146314</v>
      </c>
      <c r="O44">
        <v>155491</v>
      </c>
      <c r="P44">
        <v>165404</v>
      </c>
      <c r="Q44">
        <v>176347</v>
      </c>
      <c r="R44">
        <v>187749</v>
      </c>
      <c r="S44">
        <v>198440</v>
      </c>
      <c r="T44">
        <v>209960</v>
      </c>
      <c r="U44">
        <v>222069</v>
      </c>
      <c r="V44">
        <v>230577</v>
      </c>
      <c r="W44">
        <v>239299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Z84"/>
  <sheetViews>
    <sheetView topLeftCell="B1" zoomScale="80" zoomScaleNormal="80" workbookViewId="0">
      <selection activeCell="F6" sqref="F6"/>
    </sheetView>
  </sheetViews>
  <sheetFormatPr defaultRowHeight="13" x14ac:dyDescent="0.3"/>
  <cols>
    <col min="1" max="1" width="15.19921875" style="4" customWidth="1"/>
    <col min="2" max="6" width="9.69921875" bestFit="1" customWidth="1"/>
    <col min="7" max="9" width="10.296875" bestFit="1" customWidth="1"/>
    <col min="10" max="10" width="13.296875" bestFit="1" customWidth="1"/>
    <col min="11" max="25" width="10.296875" bestFit="1" customWidth="1"/>
    <col min="26" max="26" width="14.796875" bestFit="1" customWidth="1"/>
  </cols>
  <sheetData>
    <row r="1" spans="1:26" s="7" customFormat="1" ht="19" customHeight="1" x14ac:dyDescent="0.3">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8" t="s">
        <v>17</v>
      </c>
      <c r="S1" s="8" t="s">
        <v>18</v>
      </c>
      <c r="T1" s="8" t="s">
        <v>19</v>
      </c>
      <c r="U1" s="8" t="s">
        <v>20</v>
      </c>
      <c r="V1" s="8" t="s">
        <v>21</v>
      </c>
      <c r="W1" s="9" t="s">
        <v>22</v>
      </c>
      <c r="X1" s="9" t="s">
        <v>23</v>
      </c>
      <c r="Y1" s="8" t="s">
        <v>24</v>
      </c>
      <c r="Z1" s="8" t="s">
        <v>25</v>
      </c>
    </row>
    <row r="2" spans="1:26" s="6" customFormat="1" ht="13" customHeight="1" x14ac:dyDescent="0.3">
      <c r="A2" s="5" t="s">
        <v>72</v>
      </c>
      <c r="B2" s="10">
        <v>84406</v>
      </c>
      <c r="C2" s="10">
        <v>86159</v>
      </c>
      <c r="D2" s="10">
        <v>88082</v>
      </c>
      <c r="E2" s="10">
        <v>92484</v>
      </c>
      <c r="F2" s="10">
        <v>97066</v>
      </c>
      <c r="G2" s="10">
        <v>102580</v>
      </c>
      <c r="H2" s="10">
        <v>107934</v>
      </c>
      <c r="I2" s="10">
        <v>112183</v>
      </c>
      <c r="J2" s="10">
        <v>116425</v>
      </c>
      <c r="K2" s="10">
        <v>121848</v>
      </c>
      <c r="L2" s="10">
        <v>127904</v>
      </c>
      <c r="M2" s="10">
        <v>132431</v>
      </c>
      <c r="N2" s="10">
        <v>137685</v>
      </c>
      <c r="O2" s="10">
        <v>146314</v>
      </c>
      <c r="P2" s="10">
        <v>155491</v>
      </c>
      <c r="Q2" s="10">
        <v>165404</v>
      </c>
      <c r="R2" s="10">
        <v>176347</v>
      </c>
      <c r="S2" s="10">
        <v>187749</v>
      </c>
      <c r="T2" s="10">
        <v>198440</v>
      </c>
      <c r="U2" s="10">
        <v>209960</v>
      </c>
      <c r="V2" s="10">
        <v>222069</v>
      </c>
      <c r="W2" s="10">
        <v>230577</v>
      </c>
      <c r="X2" s="10">
        <v>239299</v>
      </c>
      <c r="Y2" s="21">
        <f>SUM(Table1[[#This Row],[2001-
02]:[2023-
24]])</f>
        <v>3338837</v>
      </c>
      <c r="Z2" s="24"/>
    </row>
    <row r="3" spans="1:26" ht="12" customHeight="1" x14ac:dyDescent="0.3">
      <c r="A3" s="1" t="s">
        <v>27</v>
      </c>
      <c r="B3" s="10">
        <v>5814</v>
      </c>
      <c r="C3" s="10">
        <v>6584</v>
      </c>
      <c r="D3" s="10">
        <v>6959</v>
      </c>
      <c r="E3" s="10">
        <v>7257</v>
      </c>
      <c r="F3" s="10">
        <v>7624</v>
      </c>
      <c r="G3" s="10">
        <v>7938</v>
      </c>
      <c r="H3" s="10">
        <v>8925</v>
      </c>
      <c r="I3" s="10">
        <v>9570</v>
      </c>
      <c r="J3" s="10">
        <v>10429</v>
      </c>
      <c r="K3" s="10">
        <v>11203</v>
      </c>
      <c r="L3" s="10">
        <v>12088</v>
      </c>
      <c r="M3" s="10">
        <v>12762</v>
      </c>
      <c r="N3" s="10">
        <v>13007</v>
      </c>
      <c r="O3" s="10">
        <v>9656</v>
      </c>
      <c r="P3" s="10">
        <v>10817</v>
      </c>
      <c r="Q3" s="10">
        <v>12178</v>
      </c>
      <c r="R3" s="10">
        <v>13725</v>
      </c>
      <c r="S3" s="10">
        <v>15044</v>
      </c>
      <c r="T3" s="10">
        <v>15263</v>
      </c>
      <c r="U3" s="10">
        <v>14714</v>
      </c>
      <c r="V3" s="10">
        <v>15403</v>
      </c>
      <c r="W3" s="10">
        <v>15448</v>
      </c>
      <c r="X3" s="10">
        <v>13994</v>
      </c>
      <c r="Y3" s="22">
        <f>SUM(Table1[[#This Row],[2001-
02]:[2023-
24]])</f>
        <v>256402</v>
      </c>
      <c r="Z3" s="24" t="s">
        <v>28</v>
      </c>
    </row>
    <row r="4" spans="1:26" ht="12" customHeight="1" x14ac:dyDescent="0.3">
      <c r="A4" s="1" t="s">
        <v>29</v>
      </c>
      <c r="B4" s="10">
        <v>42</v>
      </c>
      <c r="C4" s="10">
        <v>46</v>
      </c>
      <c r="D4" s="10">
        <v>46</v>
      </c>
      <c r="E4" s="10">
        <v>48</v>
      </c>
      <c r="F4" s="10">
        <v>48</v>
      </c>
      <c r="G4" s="10">
        <v>49</v>
      </c>
      <c r="H4" s="10">
        <v>32</v>
      </c>
      <c r="I4" s="10">
        <v>24</v>
      </c>
      <c r="J4" s="10">
        <v>26</v>
      </c>
      <c r="K4" s="10">
        <v>28</v>
      </c>
      <c r="L4" s="10">
        <v>22</v>
      </c>
      <c r="M4" s="10">
        <v>23</v>
      </c>
      <c r="N4" s="10">
        <v>43</v>
      </c>
      <c r="O4" s="10">
        <v>46</v>
      </c>
      <c r="P4" s="10">
        <v>50</v>
      </c>
      <c r="Q4" s="10">
        <v>53</v>
      </c>
      <c r="R4" s="10">
        <v>54</v>
      </c>
      <c r="S4" s="10">
        <v>55</v>
      </c>
      <c r="T4" s="10">
        <v>61</v>
      </c>
      <c r="U4" s="10">
        <v>44</v>
      </c>
      <c r="V4" s="10">
        <v>46</v>
      </c>
      <c r="W4" s="10">
        <v>46</v>
      </c>
      <c r="X4" s="10">
        <v>20</v>
      </c>
      <c r="Y4" s="22">
        <f>SUM(Table1[[#This Row],[2001-
02]:[2023-
24]])</f>
        <v>952</v>
      </c>
      <c r="Z4" s="19" t="s">
        <v>30</v>
      </c>
    </row>
    <row r="5" spans="1:26" ht="13" customHeight="1" x14ac:dyDescent="0.3">
      <c r="A5" s="1" t="s">
        <v>31</v>
      </c>
      <c r="B5" s="10">
        <v>682</v>
      </c>
      <c r="C5" s="10">
        <v>705</v>
      </c>
      <c r="D5" s="10">
        <v>727</v>
      </c>
      <c r="E5" s="10">
        <v>739</v>
      </c>
      <c r="F5" s="10">
        <v>747</v>
      </c>
      <c r="G5" s="10">
        <v>750</v>
      </c>
      <c r="H5" s="10">
        <v>752</v>
      </c>
      <c r="I5" s="10">
        <v>753</v>
      </c>
      <c r="J5" s="10">
        <v>756</v>
      </c>
      <c r="K5" s="10">
        <v>790</v>
      </c>
      <c r="L5" s="10">
        <v>796</v>
      </c>
      <c r="M5" s="10">
        <v>800</v>
      </c>
      <c r="N5" s="10">
        <v>815</v>
      </c>
      <c r="O5" s="10">
        <v>829</v>
      </c>
      <c r="P5" s="10">
        <v>843</v>
      </c>
      <c r="Q5" s="10">
        <v>861</v>
      </c>
      <c r="R5" s="10">
        <v>872</v>
      </c>
      <c r="S5" s="10">
        <v>882</v>
      </c>
      <c r="T5" s="10">
        <v>920</v>
      </c>
      <c r="U5" s="10">
        <v>954</v>
      </c>
      <c r="V5" s="10">
        <v>982</v>
      </c>
      <c r="W5" s="10">
        <v>1006</v>
      </c>
      <c r="X5" s="10">
        <v>1092</v>
      </c>
      <c r="Y5" s="23">
        <f>SUM(Table1[[#This Row],[2001-
02]:[2023-
24]])</f>
        <v>19053</v>
      </c>
      <c r="Z5" s="19" t="s">
        <v>30</v>
      </c>
    </row>
    <row r="6" spans="1:26" ht="12" customHeight="1" x14ac:dyDescent="0.3">
      <c r="A6" s="1" t="s">
        <v>32</v>
      </c>
      <c r="B6" s="10">
        <v>2664</v>
      </c>
      <c r="C6" s="10">
        <v>2869</v>
      </c>
      <c r="D6" s="10">
        <v>3180</v>
      </c>
      <c r="E6" s="10">
        <v>4743</v>
      </c>
      <c r="F6" s="10">
        <v>5060</v>
      </c>
      <c r="G6" s="10">
        <v>5451</v>
      </c>
      <c r="H6" s="10">
        <v>5783</v>
      </c>
      <c r="I6" s="10">
        <v>5934</v>
      </c>
      <c r="J6" s="10">
        <v>6124</v>
      </c>
      <c r="K6" s="10">
        <v>6517</v>
      </c>
      <c r="L6" s="10">
        <v>6643</v>
      </c>
      <c r="M6" s="10">
        <v>6845</v>
      </c>
      <c r="N6" s="10">
        <v>7197</v>
      </c>
      <c r="O6" s="10">
        <v>7775</v>
      </c>
      <c r="P6" s="10">
        <v>8288</v>
      </c>
      <c r="Q6" s="10">
        <v>8711</v>
      </c>
      <c r="R6" s="10">
        <v>9242</v>
      </c>
      <c r="S6" s="10">
        <v>9818</v>
      </c>
      <c r="T6" s="10">
        <v>10480</v>
      </c>
      <c r="U6" s="10">
        <v>11502</v>
      </c>
      <c r="V6" s="10">
        <v>12253</v>
      </c>
      <c r="W6" s="10">
        <v>12503</v>
      </c>
      <c r="X6" s="10">
        <v>12853</v>
      </c>
      <c r="Y6" s="22">
        <f>SUM(Table1[[#This Row],[2001-
02]:[2023-
24]])</f>
        <v>172435</v>
      </c>
      <c r="Z6" s="19" t="s">
        <v>33</v>
      </c>
    </row>
    <row r="7" spans="1:26" ht="12" customHeight="1" x14ac:dyDescent="0.3">
      <c r="A7" s="1" t="s">
        <v>34</v>
      </c>
      <c r="B7" s="10">
        <v>795</v>
      </c>
      <c r="C7" s="10">
        <v>804</v>
      </c>
      <c r="D7" s="10">
        <v>812</v>
      </c>
      <c r="E7" s="10">
        <v>831</v>
      </c>
      <c r="F7" s="10">
        <v>839</v>
      </c>
      <c r="G7" s="10">
        <v>849</v>
      </c>
      <c r="H7" s="10">
        <v>866</v>
      </c>
      <c r="I7" s="10">
        <v>908</v>
      </c>
      <c r="J7" s="10">
        <v>956</v>
      </c>
      <c r="K7" s="10">
        <v>1029</v>
      </c>
      <c r="L7" s="10">
        <v>1119</v>
      </c>
      <c r="M7" s="10">
        <v>1164</v>
      </c>
      <c r="N7" s="10">
        <v>1209</v>
      </c>
      <c r="O7" s="10">
        <v>1232</v>
      </c>
      <c r="P7" s="10">
        <v>1277</v>
      </c>
      <c r="Q7" s="10">
        <v>1374</v>
      </c>
      <c r="R7" s="10">
        <v>1469</v>
      </c>
      <c r="S7" s="10">
        <v>1567</v>
      </c>
      <c r="T7" s="10">
        <v>1676</v>
      </c>
      <c r="U7" s="10">
        <v>1747</v>
      </c>
      <c r="V7" s="10">
        <v>1848</v>
      </c>
      <c r="W7" s="10">
        <v>1956</v>
      </c>
      <c r="X7" s="10">
        <v>2124</v>
      </c>
      <c r="Y7" s="22">
        <f>SUM(Table1[[#This Row],[2001-
02]:[2023-
24]])</f>
        <v>28451</v>
      </c>
      <c r="Z7" s="19" t="s">
        <v>35</v>
      </c>
    </row>
    <row r="8" spans="1:26" ht="13" customHeight="1" x14ac:dyDescent="0.3">
      <c r="A8" s="1" t="s">
        <v>36</v>
      </c>
      <c r="B8" s="10">
        <v>45</v>
      </c>
      <c r="C8" s="10">
        <v>46</v>
      </c>
      <c r="D8" s="10">
        <v>48</v>
      </c>
      <c r="E8" s="10">
        <v>57</v>
      </c>
      <c r="F8" s="10">
        <v>56</v>
      </c>
      <c r="G8" s="10">
        <v>57</v>
      </c>
      <c r="H8" s="10">
        <v>58</v>
      </c>
      <c r="I8" s="10">
        <v>59</v>
      </c>
      <c r="J8" s="10">
        <v>59</v>
      </c>
      <c r="K8" s="10">
        <v>60</v>
      </c>
      <c r="L8" s="10">
        <v>60</v>
      </c>
      <c r="M8" s="10">
        <v>61</v>
      </c>
      <c r="N8" s="10">
        <v>68</v>
      </c>
      <c r="O8" s="10">
        <v>67</v>
      </c>
      <c r="P8" s="10">
        <v>54</v>
      </c>
      <c r="Q8" s="10">
        <v>51</v>
      </c>
      <c r="R8" s="10">
        <v>55</v>
      </c>
      <c r="S8" s="10">
        <v>57</v>
      </c>
      <c r="T8" s="10">
        <v>61</v>
      </c>
      <c r="U8" s="10">
        <v>60</v>
      </c>
      <c r="V8" s="10">
        <v>63</v>
      </c>
      <c r="W8" s="10">
        <v>64</v>
      </c>
      <c r="X8" s="10">
        <v>64</v>
      </c>
      <c r="Y8" s="23">
        <f>SUM(Table1[[#This Row],[2001-
02]:[2023-
24]])</f>
        <v>1330</v>
      </c>
      <c r="Z8" s="19" t="s">
        <v>37</v>
      </c>
    </row>
    <row r="9" spans="1:26" ht="12" customHeight="1" x14ac:dyDescent="0.3">
      <c r="A9" s="1" t="s">
        <v>38</v>
      </c>
      <c r="B9" s="10">
        <v>5862</v>
      </c>
      <c r="C9" s="10">
        <v>6089</v>
      </c>
      <c r="D9" s="10">
        <v>6421</v>
      </c>
      <c r="E9" s="10">
        <v>6745</v>
      </c>
      <c r="F9" s="10">
        <v>6960</v>
      </c>
      <c r="G9" s="10">
        <v>7533</v>
      </c>
      <c r="H9" s="10">
        <v>7911</v>
      </c>
      <c r="I9" s="10">
        <v>8386</v>
      </c>
      <c r="J9" s="10">
        <v>8844</v>
      </c>
      <c r="K9" s="10">
        <v>9321</v>
      </c>
      <c r="L9" s="10">
        <v>9817</v>
      </c>
      <c r="M9" s="10">
        <v>10315</v>
      </c>
      <c r="N9" s="10">
        <v>11112</v>
      </c>
      <c r="O9" s="10">
        <v>11691</v>
      </c>
      <c r="P9" s="10">
        <v>12262</v>
      </c>
      <c r="Q9" s="10">
        <v>12784</v>
      </c>
      <c r="R9" s="10">
        <v>13569</v>
      </c>
      <c r="S9" s="10">
        <v>14493</v>
      </c>
      <c r="T9" s="10">
        <v>15292</v>
      </c>
      <c r="U9" s="10">
        <v>15853</v>
      </c>
      <c r="V9" s="10">
        <v>16722</v>
      </c>
      <c r="W9" s="10">
        <v>17281</v>
      </c>
      <c r="X9" s="10">
        <v>18312</v>
      </c>
      <c r="Y9" s="22">
        <f>SUM(Table1[[#This Row],[2001-
02]:[2023-
24]])</f>
        <v>253575</v>
      </c>
      <c r="Z9" s="19" t="s">
        <v>37</v>
      </c>
    </row>
    <row r="10" spans="1:26" ht="12" customHeight="1" x14ac:dyDescent="0.3">
      <c r="A10" s="1" t="s">
        <v>39</v>
      </c>
      <c r="B10" s="10">
        <v>4978</v>
      </c>
      <c r="C10" s="10">
        <v>5124</v>
      </c>
      <c r="D10" s="10">
        <v>5221</v>
      </c>
      <c r="E10" s="10">
        <v>5222</v>
      </c>
      <c r="F10" s="10">
        <v>5299</v>
      </c>
      <c r="G10" s="10">
        <v>5366</v>
      </c>
      <c r="H10" s="10">
        <v>5442</v>
      </c>
      <c r="I10" s="10">
        <v>5745</v>
      </c>
      <c r="J10" s="10">
        <v>6006</v>
      </c>
      <c r="K10" s="10">
        <v>6267</v>
      </c>
      <c r="L10" s="10">
        <v>6661</v>
      </c>
      <c r="M10" s="10">
        <v>7040</v>
      </c>
      <c r="N10" s="10">
        <v>7442</v>
      </c>
      <c r="O10" s="10">
        <v>7901</v>
      </c>
      <c r="P10" s="10">
        <v>8381</v>
      </c>
      <c r="Q10" s="10">
        <v>8975</v>
      </c>
      <c r="R10" s="10">
        <v>9809</v>
      </c>
      <c r="S10" s="10">
        <v>10726</v>
      </c>
      <c r="T10" s="10">
        <v>11735</v>
      </c>
      <c r="U10" s="10">
        <v>11284</v>
      </c>
      <c r="V10" s="10">
        <v>11630</v>
      </c>
      <c r="W10" s="10">
        <v>11966</v>
      </c>
      <c r="X10" s="10">
        <v>12220</v>
      </c>
      <c r="Y10" s="22">
        <f>SUM(Table1[[#This Row],[2001-
02]:[2023-
24]])</f>
        <v>180440</v>
      </c>
      <c r="Z10" s="19" t="s">
        <v>40</v>
      </c>
    </row>
    <row r="11" spans="1:26" ht="13" customHeight="1" x14ac:dyDescent="0.3">
      <c r="A11" s="1" t="s">
        <v>41</v>
      </c>
      <c r="B11" s="10">
        <v>756</v>
      </c>
      <c r="C11" s="10">
        <v>773</v>
      </c>
      <c r="D11" s="10">
        <v>786</v>
      </c>
      <c r="E11" s="10">
        <v>870</v>
      </c>
      <c r="F11" s="10">
        <v>869</v>
      </c>
      <c r="G11" s="10">
        <v>933</v>
      </c>
      <c r="H11" s="10">
        <v>1007</v>
      </c>
      <c r="I11" s="10">
        <v>1026</v>
      </c>
      <c r="J11" s="10">
        <v>971</v>
      </c>
      <c r="K11" s="10">
        <v>1102</v>
      </c>
      <c r="L11" s="10">
        <v>1120</v>
      </c>
      <c r="M11" s="10">
        <v>1139</v>
      </c>
      <c r="N11" s="10">
        <v>1151</v>
      </c>
      <c r="O11" s="10">
        <v>1172</v>
      </c>
      <c r="P11" s="10">
        <v>1283</v>
      </c>
      <c r="Q11" s="10">
        <v>1329</v>
      </c>
      <c r="R11" s="10">
        <v>1392</v>
      </c>
      <c r="S11" s="10">
        <v>1460</v>
      </c>
      <c r="T11" s="10">
        <v>1531</v>
      </c>
      <c r="U11" s="10">
        <v>1576</v>
      </c>
      <c r="V11" s="10">
        <v>1615</v>
      </c>
      <c r="W11" s="10">
        <v>1617</v>
      </c>
      <c r="X11" s="10">
        <v>1749</v>
      </c>
      <c r="Y11" s="23">
        <f>SUM(Table1[[#This Row],[2001-
02]:[2023-
24]])</f>
        <v>27227</v>
      </c>
      <c r="Z11" s="19" t="s">
        <v>40</v>
      </c>
    </row>
    <row r="12" spans="1:26" ht="12" customHeight="1" x14ac:dyDescent="0.3">
      <c r="A12" s="1" t="s">
        <v>42</v>
      </c>
      <c r="B12" s="10">
        <v>1360</v>
      </c>
      <c r="C12" s="10">
        <v>1389</v>
      </c>
      <c r="D12" s="10">
        <v>1414</v>
      </c>
      <c r="E12" s="10">
        <v>1422</v>
      </c>
      <c r="F12" s="10">
        <v>1400</v>
      </c>
      <c r="G12" s="10">
        <v>1400</v>
      </c>
      <c r="H12" s="10">
        <v>1519</v>
      </c>
      <c r="I12" s="10">
        <v>1565</v>
      </c>
      <c r="J12" s="10">
        <v>1592</v>
      </c>
      <c r="K12" s="10">
        <v>1609</v>
      </c>
      <c r="L12" s="10">
        <v>1614</v>
      </c>
      <c r="M12" s="10">
        <v>1631</v>
      </c>
      <c r="N12" s="10">
        <v>1615</v>
      </c>
      <c r="O12" s="10">
        <v>1951</v>
      </c>
      <c r="P12" s="10">
        <v>2273</v>
      </c>
      <c r="Q12" s="10">
        <v>2376</v>
      </c>
      <c r="R12" s="10">
        <v>2460</v>
      </c>
      <c r="S12" s="10">
        <v>2540</v>
      </c>
      <c r="T12" s="10">
        <v>2506</v>
      </c>
      <c r="U12" s="10">
        <v>2595</v>
      </c>
      <c r="V12" s="10">
        <v>2727</v>
      </c>
      <c r="W12" s="10">
        <v>2817</v>
      </c>
      <c r="X12" s="10">
        <v>2875</v>
      </c>
      <c r="Y12" s="22">
        <f>SUM(Table1[[#This Row],[2001-
02]:[2023-
24]])</f>
        <v>44650</v>
      </c>
      <c r="Z12" s="19" t="s">
        <v>40</v>
      </c>
    </row>
    <row r="13" spans="1:26" ht="13" customHeight="1" x14ac:dyDescent="0.3">
      <c r="A13" s="1" t="s">
        <v>43</v>
      </c>
      <c r="B13" s="10">
        <v>940</v>
      </c>
      <c r="C13" s="10">
        <v>952</v>
      </c>
      <c r="D13" s="10">
        <v>954</v>
      </c>
      <c r="E13" s="10">
        <v>1330</v>
      </c>
      <c r="F13" s="10">
        <v>1335</v>
      </c>
      <c r="G13" s="10">
        <v>1401</v>
      </c>
      <c r="H13" s="10">
        <v>1442</v>
      </c>
      <c r="I13" s="10">
        <v>1466</v>
      </c>
      <c r="J13" s="10">
        <v>1463</v>
      </c>
      <c r="K13" s="10">
        <v>1555</v>
      </c>
      <c r="L13" s="10">
        <v>1745</v>
      </c>
      <c r="M13" s="10">
        <v>1679</v>
      </c>
      <c r="N13" s="10">
        <v>1700</v>
      </c>
      <c r="O13" s="10">
        <v>1734</v>
      </c>
      <c r="P13" s="10">
        <v>1812</v>
      </c>
      <c r="Q13" s="10">
        <v>1894</v>
      </c>
      <c r="R13" s="10">
        <v>2016</v>
      </c>
      <c r="S13" s="10">
        <v>2183</v>
      </c>
      <c r="T13" s="10">
        <v>2321</v>
      </c>
      <c r="U13" s="10">
        <v>2434</v>
      </c>
      <c r="V13" s="10">
        <v>2629</v>
      </c>
      <c r="W13" s="10">
        <v>2774</v>
      </c>
      <c r="X13" s="10">
        <v>3025</v>
      </c>
      <c r="Y13" s="23">
        <f>SUM(Table1[[#This Row],[2001-
02]:[2023-
24]])</f>
        <v>40784</v>
      </c>
      <c r="Z13" s="19" t="s">
        <v>33</v>
      </c>
    </row>
    <row r="14" spans="1:26" ht="12" customHeight="1" x14ac:dyDescent="0.3">
      <c r="A14" s="1" t="s">
        <v>44</v>
      </c>
      <c r="B14" s="10">
        <v>4797</v>
      </c>
      <c r="C14" s="10">
        <v>4539</v>
      </c>
      <c r="D14" s="10">
        <v>3857</v>
      </c>
      <c r="E14" s="10">
        <v>3917</v>
      </c>
      <c r="F14" s="10">
        <v>4022</v>
      </c>
      <c r="G14" s="10">
        <v>4124</v>
      </c>
      <c r="H14" s="10">
        <v>4244</v>
      </c>
      <c r="I14" s="10">
        <v>4538</v>
      </c>
      <c r="J14" s="10">
        <v>4822</v>
      </c>
      <c r="K14" s="10">
        <v>5114</v>
      </c>
      <c r="L14" s="10">
        <v>5447</v>
      </c>
      <c r="M14" s="10">
        <v>5718</v>
      </c>
      <c r="N14" s="10">
        <v>5997</v>
      </c>
      <c r="O14" s="10">
        <v>6121</v>
      </c>
      <c r="P14" s="10">
        <v>6344</v>
      </c>
      <c r="Q14" s="10">
        <v>6562</v>
      </c>
      <c r="R14" s="10">
        <v>7137</v>
      </c>
      <c r="S14" s="10">
        <v>7901</v>
      </c>
      <c r="T14" s="10">
        <v>9031</v>
      </c>
      <c r="U14" s="10">
        <v>10936</v>
      </c>
      <c r="V14" s="10">
        <v>11796</v>
      </c>
      <c r="W14" s="10">
        <v>12829</v>
      </c>
      <c r="X14" s="10">
        <v>13463</v>
      </c>
      <c r="Y14" s="22">
        <f>SUM(Table1[[#This Row],[2001-
02]:[2023-
24]])</f>
        <v>153256</v>
      </c>
      <c r="Z14" s="19" t="s">
        <v>28</v>
      </c>
    </row>
    <row r="15" spans="1:26" ht="12" customHeight="1" x14ac:dyDescent="0.3">
      <c r="A15" s="1" t="s">
        <v>45</v>
      </c>
      <c r="B15" s="10">
        <v>2718</v>
      </c>
      <c r="C15" s="10">
        <v>2419</v>
      </c>
      <c r="D15" s="10">
        <v>2111</v>
      </c>
      <c r="E15" s="10">
        <v>2025</v>
      </c>
      <c r="F15" s="10">
        <v>2063</v>
      </c>
      <c r="G15" s="10">
        <v>2119</v>
      </c>
      <c r="H15" s="10">
        <v>2253</v>
      </c>
      <c r="I15" s="10">
        <v>2441</v>
      </c>
      <c r="J15" s="10">
        <v>2509</v>
      </c>
      <c r="K15" s="10">
        <v>2645</v>
      </c>
      <c r="L15" s="10">
        <v>2716</v>
      </c>
      <c r="M15" s="10">
        <v>2791</v>
      </c>
      <c r="N15" s="10">
        <v>2655</v>
      </c>
      <c r="O15" s="10">
        <v>2711</v>
      </c>
      <c r="P15" s="10">
        <v>2650</v>
      </c>
      <c r="Q15" s="10">
        <v>2520</v>
      </c>
      <c r="R15" s="10">
        <v>2576</v>
      </c>
      <c r="S15" s="10">
        <v>2548</v>
      </c>
      <c r="T15" s="10">
        <v>2544</v>
      </c>
      <c r="U15" s="10">
        <v>2534</v>
      </c>
      <c r="V15" s="10">
        <v>2532</v>
      </c>
      <c r="W15" s="10">
        <v>2580</v>
      </c>
      <c r="X15" s="10">
        <v>2580</v>
      </c>
      <c r="Y15" s="22">
        <f>SUM(Table1[[#This Row],[2001-
02]:[2023-
24]])</f>
        <v>57240</v>
      </c>
      <c r="Z15" s="19" t="s">
        <v>28</v>
      </c>
    </row>
    <row r="16" spans="1:26" ht="13" customHeight="1" x14ac:dyDescent="0.3">
      <c r="A16" s="1" t="s">
        <v>46</v>
      </c>
      <c r="B16" s="10">
        <v>5283</v>
      </c>
      <c r="C16" s="10">
        <v>5343</v>
      </c>
      <c r="D16" s="10">
        <v>5388</v>
      </c>
      <c r="E16" s="10">
        <v>5506</v>
      </c>
      <c r="F16" s="10">
        <v>6283</v>
      </c>
      <c r="G16" s="10">
        <v>6374</v>
      </c>
      <c r="H16" s="10">
        <v>6572</v>
      </c>
      <c r="I16" s="10">
        <v>6855</v>
      </c>
      <c r="J16" s="10">
        <v>7167</v>
      </c>
      <c r="K16" s="10">
        <v>7514</v>
      </c>
      <c r="L16" s="10">
        <v>8149</v>
      </c>
      <c r="M16" s="10">
        <v>8838</v>
      </c>
      <c r="N16" s="10">
        <v>9599</v>
      </c>
      <c r="O16" s="10">
        <v>10779</v>
      </c>
      <c r="P16" s="10">
        <v>12148</v>
      </c>
      <c r="Q16" s="10">
        <v>13445</v>
      </c>
      <c r="R16" s="10">
        <v>14713</v>
      </c>
      <c r="S16" s="10">
        <v>15911</v>
      </c>
      <c r="T16" s="10">
        <v>17109</v>
      </c>
      <c r="U16" s="10">
        <v>17999</v>
      </c>
      <c r="V16" s="10">
        <v>19004</v>
      </c>
      <c r="W16" s="10">
        <v>20122</v>
      </c>
      <c r="X16" s="10">
        <v>21326</v>
      </c>
      <c r="Y16" s="23">
        <f>SUM(Table1[[#This Row],[2001-
02]:[2023-
24]])</f>
        <v>251427</v>
      </c>
      <c r="Z16" s="19" t="s">
        <v>35</v>
      </c>
    </row>
    <row r="17" spans="1:26" ht="12" customHeight="1" x14ac:dyDescent="0.3">
      <c r="A17" s="1" t="s">
        <v>47</v>
      </c>
      <c r="B17" s="10">
        <v>6094</v>
      </c>
      <c r="C17" s="10">
        <v>6238</v>
      </c>
      <c r="D17" s="10">
        <v>6379</v>
      </c>
      <c r="E17" s="10">
        <v>6567</v>
      </c>
      <c r="F17" s="10">
        <v>6769</v>
      </c>
      <c r="G17" s="10">
        <v>6978</v>
      </c>
      <c r="H17" s="10">
        <v>7210</v>
      </c>
      <c r="I17" s="10">
        <v>7455</v>
      </c>
      <c r="J17" s="10">
        <v>7679</v>
      </c>
      <c r="K17" s="10">
        <v>8044</v>
      </c>
      <c r="L17" s="10">
        <v>8469</v>
      </c>
      <c r="M17" s="10">
        <v>8734</v>
      </c>
      <c r="N17" s="10">
        <v>9089</v>
      </c>
      <c r="O17" s="10">
        <v>9542</v>
      </c>
      <c r="P17" s="10">
        <v>10153</v>
      </c>
      <c r="Q17" s="10">
        <v>10402</v>
      </c>
      <c r="R17" s="10">
        <v>11102</v>
      </c>
      <c r="S17" s="10">
        <v>11655</v>
      </c>
      <c r="T17" s="10">
        <v>12024</v>
      </c>
      <c r="U17" s="10">
        <v>13703</v>
      </c>
      <c r="V17" s="10">
        <v>14305</v>
      </c>
      <c r="W17" s="10">
        <v>15042</v>
      </c>
      <c r="X17" s="10">
        <v>16045</v>
      </c>
      <c r="Y17" s="22">
        <f>SUM(Table1[[#This Row],[2001-
02]:[2023-
24]])</f>
        <v>219678</v>
      </c>
      <c r="Z17" s="19" t="s">
        <v>37</v>
      </c>
    </row>
    <row r="18" spans="1:26" ht="12" customHeight="1" x14ac:dyDescent="0.3">
      <c r="A18" s="1" t="s">
        <v>48</v>
      </c>
      <c r="B18" s="10">
        <v>68</v>
      </c>
      <c r="C18" s="10">
        <v>69</v>
      </c>
      <c r="D18" s="10">
        <v>71</v>
      </c>
      <c r="E18" s="10">
        <v>75</v>
      </c>
      <c r="F18" s="10">
        <v>77</v>
      </c>
      <c r="G18" s="10">
        <v>77</v>
      </c>
      <c r="H18" s="10">
        <v>78</v>
      </c>
      <c r="I18" s="10">
        <v>78</v>
      </c>
      <c r="J18" s="10">
        <v>78</v>
      </c>
      <c r="K18" s="10">
        <v>78</v>
      </c>
      <c r="L18" s="10">
        <v>79</v>
      </c>
      <c r="M18" s="10">
        <v>80</v>
      </c>
      <c r="N18" s="10">
        <v>82</v>
      </c>
      <c r="O18" s="10">
        <v>82</v>
      </c>
      <c r="P18" s="10">
        <v>79</v>
      </c>
      <c r="Q18" s="10">
        <v>79</v>
      </c>
      <c r="R18" s="10">
        <v>82</v>
      </c>
      <c r="S18" s="10">
        <v>86</v>
      </c>
      <c r="T18" s="10">
        <v>90</v>
      </c>
      <c r="U18" s="10">
        <v>71</v>
      </c>
      <c r="V18" s="10">
        <v>76</v>
      </c>
      <c r="W18" s="10">
        <v>72</v>
      </c>
      <c r="X18" s="10">
        <v>63</v>
      </c>
      <c r="Y18" s="22">
        <f>SUM(Table1[[#This Row],[2001-
02]:[2023-
24]])</f>
        <v>1770</v>
      </c>
      <c r="Z18" s="19" t="s">
        <v>30</v>
      </c>
    </row>
    <row r="19" spans="1:26" ht="13" customHeight="1" x14ac:dyDescent="0.3">
      <c r="A19" s="1" t="s">
        <v>49</v>
      </c>
      <c r="B19" s="10">
        <v>66</v>
      </c>
      <c r="C19" s="10">
        <v>68</v>
      </c>
      <c r="D19" s="10">
        <v>69</v>
      </c>
      <c r="E19" s="10">
        <v>71</v>
      </c>
      <c r="F19" s="10">
        <v>73</v>
      </c>
      <c r="G19" s="10">
        <v>74</v>
      </c>
      <c r="H19" s="10">
        <v>77</v>
      </c>
      <c r="I19" s="10">
        <v>77</v>
      </c>
      <c r="J19" s="10">
        <v>78</v>
      </c>
      <c r="K19" s="10">
        <v>79</v>
      </c>
      <c r="L19" s="10">
        <v>80</v>
      </c>
      <c r="M19" s="10">
        <v>81</v>
      </c>
      <c r="N19" s="10">
        <v>82</v>
      </c>
      <c r="O19" s="10">
        <v>83</v>
      </c>
      <c r="P19" s="10">
        <v>84</v>
      </c>
      <c r="Q19" s="10">
        <v>84</v>
      </c>
      <c r="R19" s="10">
        <v>85</v>
      </c>
      <c r="S19" s="10">
        <v>87</v>
      </c>
      <c r="T19" s="10">
        <v>88</v>
      </c>
      <c r="U19" s="10">
        <v>89</v>
      </c>
      <c r="V19" s="10">
        <v>90</v>
      </c>
      <c r="W19" s="10">
        <v>94</v>
      </c>
      <c r="X19" s="10">
        <v>97</v>
      </c>
      <c r="Y19" s="23">
        <f>SUM(Table1[[#This Row],[2001-
02]:[2023-
24]])</f>
        <v>1856</v>
      </c>
      <c r="Z19" s="19" t="s">
        <v>30</v>
      </c>
    </row>
    <row r="20" spans="1:26" ht="12" customHeight="1" x14ac:dyDescent="0.3">
      <c r="A20" s="1" t="s">
        <v>50</v>
      </c>
      <c r="B20" s="10">
        <v>14</v>
      </c>
      <c r="C20" s="10">
        <v>15</v>
      </c>
      <c r="D20" s="10">
        <v>15</v>
      </c>
      <c r="E20" s="10">
        <v>16</v>
      </c>
      <c r="F20" s="10">
        <v>15</v>
      </c>
      <c r="G20" s="10">
        <v>16</v>
      </c>
      <c r="H20" s="10">
        <v>17</v>
      </c>
      <c r="I20" s="10">
        <v>17</v>
      </c>
      <c r="J20" s="10">
        <v>11</v>
      </c>
      <c r="K20" s="10">
        <v>11</v>
      </c>
      <c r="L20" s="10">
        <v>14</v>
      </c>
      <c r="M20" s="10">
        <v>14</v>
      </c>
      <c r="N20" s="10">
        <v>15</v>
      </c>
      <c r="O20" s="10">
        <v>20</v>
      </c>
      <c r="P20" s="10">
        <v>22</v>
      </c>
      <c r="Q20" s="10">
        <v>24</v>
      </c>
      <c r="R20" s="10">
        <v>25</v>
      </c>
      <c r="S20" s="10">
        <v>26</v>
      </c>
      <c r="T20" s="10">
        <v>24</v>
      </c>
      <c r="U20" s="10">
        <v>25</v>
      </c>
      <c r="V20" s="10">
        <v>25</v>
      </c>
      <c r="W20" s="10">
        <v>24</v>
      </c>
      <c r="X20" s="10">
        <v>25</v>
      </c>
      <c r="Y20" s="22">
        <f>SUM(Table1[[#This Row],[2001-
02]:[2023-
24]])</f>
        <v>430</v>
      </c>
      <c r="Z20" s="19" t="s">
        <v>30</v>
      </c>
    </row>
    <row r="21" spans="1:26" ht="12" customHeight="1" x14ac:dyDescent="0.3">
      <c r="A21" s="1" t="s">
        <v>51</v>
      </c>
      <c r="B21" s="10">
        <v>57</v>
      </c>
      <c r="C21" s="10">
        <v>58</v>
      </c>
      <c r="D21" s="10">
        <v>63</v>
      </c>
      <c r="E21" s="10">
        <v>69</v>
      </c>
      <c r="F21" s="10">
        <v>74</v>
      </c>
      <c r="G21" s="10">
        <v>67</v>
      </c>
      <c r="H21" s="10">
        <v>45</v>
      </c>
      <c r="I21" s="10">
        <v>53</v>
      </c>
      <c r="J21" s="10">
        <v>78</v>
      </c>
      <c r="K21" s="10">
        <v>76</v>
      </c>
      <c r="L21" s="10">
        <v>78</v>
      </c>
      <c r="M21" s="10">
        <v>79</v>
      </c>
      <c r="N21" s="10">
        <v>81</v>
      </c>
      <c r="O21" s="10">
        <v>76</v>
      </c>
      <c r="P21" s="10">
        <v>77</v>
      </c>
      <c r="Q21" s="10">
        <v>79</v>
      </c>
      <c r="R21" s="10">
        <v>74</v>
      </c>
      <c r="S21" s="10">
        <v>73</v>
      </c>
      <c r="T21" s="10">
        <v>62</v>
      </c>
      <c r="U21" s="10">
        <v>56</v>
      </c>
      <c r="V21" s="10">
        <v>61</v>
      </c>
      <c r="W21" s="10">
        <v>50</v>
      </c>
      <c r="X21" s="10">
        <v>53</v>
      </c>
      <c r="Y21" s="22">
        <f>SUM(Table1[[#This Row],[2001-
02]:[2023-
24]])</f>
        <v>1539</v>
      </c>
      <c r="Z21" s="19" t="s">
        <v>30</v>
      </c>
    </row>
    <row r="22" spans="1:26" ht="13" customHeight="1" x14ac:dyDescent="0.3">
      <c r="A22" s="2" t="s">
        <v>52</v>
      </c>
      <c r="B22" s="10">
        <v>929</v>
      </c>
      <c r="C22" s="10">
        <v>941</v>
      </c>
      <c r="D22" s="10">
        <v>997</v>
      </c>
      <c r="E22" s="10">
        <v>1283</v>
      </c>
      <c r="F22" s="10">
        <v>1342</v>
      </c>
      <c r="G22" s="10">
        <v>1431</v>
      </c>
      <c r="H22" s="10">
        <v>1625</v>
      </c>
      <c r="I22" s="10">
        <v>1598</v>
      </c>
      <c r="J22" s="10">
        <v>1651</v>
      </c>
      <c r="K22" s="10">
        <v>1671</v>
      </c>
      <c r="L22" s="10">
        <v>1721</v>
      </c>
      <c r="M22" s="10">
        <v>1724</v>
      </c>
      <c r="N22" s="10">
        <v>1861</v>
      </c>
      <c r="O22" s="10">
        <v>1903</v>
      </c>
      <c r="P22" s="10">
        <v>1930</v>
      </c>
      <c r="Q22" s="10">
        <v>2003</v>
      </c>
      <c r="R22" s="10">
        <v>2088</v>
      </c>
      <c r="S22" s="10">
        <v>2311</v>
      </c>
      <c r="T22" s="10">
        <v>2370</v>
      </c>
      <c r="U22" s="10">
        <v>2373</v>
      </c>
      <c r="V22" s="10">
        <v>2402</v>
      </c>
      <c r="W22" s="10">
        <v>2476</v>
      </c>
      <c r="X22" s="10">
        <v>2636</v>
      </c>
      <c r="Y22" s="23">
        <f>SUM(Table1[[#This Row],[2001-
02]:[2023-
24]])</f>
        <v>41266</v>
      </c>
      <c r="Z22" s="19" t="s">
        <v>33</v>
      </c>
    </row>
    <row r="23" spans="1:26" ht="12" customHeight="1" x14ac:dyDescent="0.3">
      <c r="A23" s="1" t="s">
        <v>53</v>
      </c>
      <c r="B23" s="10">
        <v>7932</v>
      </c>
      <c r="C23" s="10">
        <v>8173</v>
      </c>
      <c r="D23" s="10">
        <v>8391</v>
      </c>
      <c r="E23" s="10">
        <v>8554</v>
      </c>
      <c r="F23" s="10">
        <v>8909</v>
      </c>
      <c r="G23" s="10">
        <v>9168</v>
      </c>
      <c r="H23" s="10">
        <v>9282</v>
      </c>
      <c r="I23" s="10">
        <v>9387</v>
      </c>
      <c r="J23" s="10">
        <v>9389</v>
      </c>
      <c r="K23" s="10">
        <v>9423</v>
      </c>
      <c r="L23" s="10">
        <v>9551</v>
      </c>
      <c r="M23" s="10">
        <v>9724</v>
      </c>
      <c r="N23" s="10">
        <v>10011</v>
      </c>
      <c r="O23" s="10">
        <v>10351</v>
      </c>
      <c r="P23" s="10">
        <v>10774</v>
      </c>
      <c r="Q23" s="10">
        <v>11282</v>
      </c>
      <c r="R23" s="10">
        <v>11855</v>
      </c>
      <c r="S23" s="10">
        <v>12599</v>
      </c>
      <c r="T23" s="10">
        <v>13348</v>
      </c>
      <c r="U23" s="10">
        <v>13394</v>
      </c>
      <c r="V23" s="10">
        <v>14077</v>
      </c>
      <c r="W23" s="10">
        <v>14301</v>
      </c>
      <c r="X23" s="10">
        <v>14000</v>
      </c>
      <c r="Y23" s="22">
        <f>SUM(Table1[[#This Row],[2001-
02]:[2023-
24]])</f>
        <v>243875</v>
      </c>
      <c r="Z23" s="19" t="s">
        <v>40</v>
      </c>
    </row>
    <row r="24" spans="1:26" ht="12" customHeight="1" x14ac:dyDescent="0.3">
      <c r="A24" s="1" t="s">
        <v>54</v>
      </c>
      <c r="B24" s="10">
        <v>7758</v>
      </c>
      <c r="C24" s="10">
        <v>7789</v>
      </c>
      <c r="D24" s="10">
        <v>8054</v>
      </c>
      <c r="E24" s="10">
        <v>8310</v>
      </c>
      <c r="F24" s="10">
        <v>8713</v>
      </c>
      <c r="G24" s="10">
        <v>10309</v>
      </c>
      <c r="H24" s="10">
        <v>11377</v>
      </c>
      <c r="I24" s="10">
        <v>11931</v>
      </c>
      <c r="J24" s="10">
        <v>12330</v>
      </c>
      <c r="K24" s="10">
        <v>13234</v>
      </c>
      <c r="L24" s="10">
        <v>13512</v>
      </c>
      <c r="M24" s="10">
        <v>13946</v>
      </c>
      <c r="N24" s="10">
        <v>14573</v>
      </c>
      <c r="O24" s="10">
        <v>16934</v>
      </c>
      <c r="P24" s="10">
        <v>18500</v>
      </c>
      <c r="Q24" s="10">
        <v>20850</v>
      </c>
      <c r="R24" s="10">
        <v>22427</v>
      </c>
      <c r="S24" s="10">
        <v>23668</v>
      </c>
      <c r="T24" s="10">
        <v>25573</v>
      </c>
      <c r="U24" s="10">
        <v>30723</v>
      </c>
      <c r="V24" s="10">
        <v>33265</v>
      </c>
      <c r="W24" s="10">
        <v>33307</v>
      </c>
      <c r="X24" s="10">
        <v>34733</v>
      </c>
      <c r="Y24" s="22">
        <f>SUM(Table1[[#This Row],[2001-
02]:[2023-
24]])</f>
        <v>401816</v>
      </c>
      <c r="Z24" s="19" t="s">
        <v>40</v>
      </c>
    </row>
    <row r="25" spans="1:26" ht="13" customHeight="1" x14ac:dyDescent="0.3">
      <c r="A25" s="1" t="s">
        <v>55</v>
      </c>
      <c r="B25" s="10">
        <v>37</v>
      </c>
      <c r="C25" s="10">
        <v>45</v>
      </c>
      <c r="D25" s="10">
        <v>48</v>
      </c>
      <c r="E25" s="10">
        <v>46</v>
      </c>
      <c r="F25" s="10">
        <v>48</v>
      </c>
      <c r="G25" s="10">
        <v>49</v>
      </c>
      <c r="H25" s="10">
        <v>42</v>
      </c>
      <c r="I25" s="10">
        <v>42</v>
      </c>
      <c r="J25" s="10">
        <v>44</v>
      </c>
      <c r="K25" s="10">
        <v>43</v>
      </c>
      <c r="L25" s="10">
        <v>45</v>
      </c>
      <c r="M25" s="10">
        <v>42</v>
      </c>
      <c r="N25" s="10">
        <v>46</v>
      </c>
      <c r="O25" s="10">
        <v>50</v>
      </c>
      <c r="P25" s="10">
        <v>67</v>
      </c>
      <c r="Q25" s="10">
        <v>54</v>
      </c>
      <c r="R25" s="10">
        <v>59</v>
      </c>
      <c r="S25" s="10">
        <v>61</v>
      </c>
      <c r="T25" s="10">
        <v>84</v>
      </c>
      <c r="U25" s="10">
        <v>74</v>
      </c>
      <c r="V25" s="10">
        <v>87</v>
      </c>
      <c r="W25" s="10">
        <v>87</v>
      </c>
      <c r="X25" s="10">
        <v>81</v>
      </c>
      <c r="Y25" s="23">
        <f>SUM(Table1[[#This Row],[2001-
02]:[2023-
24]])</f>
        <v>1281</v>
      </c>
      <c r="Z25" s="19" t="s">
        <v>30</v>
      </c>
    </row>
    <row r="26" spans="1:26" ht="12" customHeight="1" x14ac:dyDescent="0.3">
      <c r="A26" s="1" t="s">
        <v>56</v>
      </c>
      <c r="B26" s="10">
        <v>4988</v>
      </c>
      <c r="C26" s="10">
        <v>4622</v>
      </c>
      <c r="D26" s="10">
        <v>4752</v>
      </c>
      <c r="E26" s="10">
        <v>4784</v>
      </c>
      <c r="F26" s="10">
        <v>5474</v>
      </c>
      <c r="G26" s="10">
        <v>6277</v>
      </c>
      <c r="H26" s="10">
        <v>6540</v>
      </c>
      <c r="I26" s="10">
        <v>6651</v>
      </c>
      <c r="J26" s="10">
        <v>6787</v>
      </c>
      <c r="K26" s="10">
        <v>6831</v>
      </c>
      <c r="L26" s="10">
        <v>6968</v>
      </c>
      <c r="M26" s="10">
        <v>7005</v>
      </c>
      <c r="N26" s="10">
        <v>7049</v>
      </c>
      <c r="O26" s="10">
        <v>7132</v>
      </c>
      <c r="P26" s="10">
        <v>7244</v>
      </c>
      <c r="Q26" s="10">
        <v>7556</v>
      </c>
      <c r="R26" s="10">
        <v>7742</v>
      </c>
      <c r="S26" s="10">
        <v>8362</v>
      </c>
      <c r="T26" s="10">
        <v>8759</v>
      </c>
      <c r="U26" s="10">
        <v>9790</v>
      </c>
      <c r="V26" s="10">
        <v>10107</v>
      </c>
      <c r="W26" s="10">
        <v>10317</v>
      </c>
      <c r="X26" s="10">
        <v>10808</v>
      </c>
      <c r="Y26" s="22">
        <f>SUM(Table1[[#This Row],[2001-
02]:[2023-
24]])</f>
        <v>166545</v>
      </c>
      <c r="Z26" s="19" t="s">
        <v>28</v>
      </c>
    </row>
    <row r="27" spans="1:26" ht="13" customHeight="1" x14ac:dyDescent="0.3">
      <c r="A27" s="1" t="s">
        <v>57</v>
      </c>
      <c r="B27" s="16">
        <v>0</v>
      </c>
      <c r="C27" s="16">
        <v>0</v>
      </c>
      <c r="D27" s="16">
        <v>0</v>
      </c>
      <c r="E27" s="16">
        <v>0</v>
      </c>
      <c r="F27" s="16">
        <v>0</v>
      </c>
      <c r="G27" s="16">
        <v>0</v>
      </c>
      <c r="H27" s="16">
        <v>0</v>
      </c>
      <c r="I27" s="16">
        <v>0</v>
      </c>
      <c r="J27" s="16">
        <v>0</v>
      </c>
      <c r="K27" s="16">
        <v>0</v>
      </c>
      <c r="L27" s="16">
        <v>0</v>
      </c>
      <c r="M27" s="16">
        <v>0</v>
      </c>
      <c r="N27" s="16">
        <v>0</v>
      </c>
      <c r="O27" s="10">
        <v>4207</v>
      </c>
      <c r="P27" s="10">
        <v>4442</v>
      </c>
      <c r="Q27" s="10">
        <v>4681</v>
      </c>
      <c r="R27" s="10">
        <v>4965</v>
      </c>
      <c r="S27" s="10">
        <v>5416</v>
      </c>
      <c r="T27" s="10">
        <v>5590</v>
      </c>
      <c r="U27" s="10">
        <v>5765</v>
      </c>
      <c r="V27" s="10">
        <v>5808</v>
      </c>
      <c r="W27" s="10">
        <v>5855</v>
      </c>
      <c r="X27" s="10">
        <v>5840</v>
      </c>
      <c r="Y27" s="23">
        <f>SUM(Table1[[#This Row],[2001-
02]:[2023-
24]])</f>
        <v>52569</v>
      </c>
      <c r="Z27" s="19" t="s">
        <v>28</v>
      </c>
    </row>
    <row r="28" spans="1:26" ht="12" customHeight="1" x14ac:dyDescent="0.3">
      <c r="A28" s="1" t="s">
        <v>58</v>
      </c>
      <c r="B28" s="10">
        <v>90</v>
      </c>
      <c r="C28" s="10">
        <v>79</v>
      </c>
      <c r="D28" s="10">
        <v>84</v>
      </c>
      <c r="E28" s="10">
        <v>86</v>
      </c>
      <c r="F28" s="10">
        <v>87</v>
      </c>
      <c r="G28" s="10">
        <v>89</v>
      </c>
      <c r="H28" s="10">
        <v>91</v>
      </c>
      <c r="I28" s="10">
        <v>96</v>
      </c>
      <c r="J28" s="10">
        <v>100</v>
      </c>
      <c r="K28" s="10">
        <v>104</v>
      </c>
      <c r="L28" s="10">
        <v>111</v>
      </c>
      <c r="M28" s="10">
        <v>118</v>
      </c>
      <c r="N28" s="10">
        <v>130</v>
      </c>
      <c r="O28" s="10">
        <v>141</v>
      </c>
      <c r="P28" s="10">
        <v>152</v>
      </c>
      <c r="Q28" s="10">
        <v>160</v>
      </c>
      <c r="R28" s="10">
        <v>174</v>
      </c>
      <c r="S28" s="10">
        <v>185</v>
      </c>
      <c r="T28" s="10">
        <v>199</v>
      </c>
      <c r="U28" s="10">
        <v>206</v>
      </c>
      <c r="V28" s="10">
        <v>217</v>
      </c>
      <c r="W28" s="10">
        <v>230</v>
      </c>
      <c r="X28" s="10">
        <v>247</v>
      </c>
      <c r="Y28" s="22">
        <f>SUM(Table1[[#This Row],[2001-
02]:[2023-
24]])</f>
        <v>3176</v>
      </c>
      <c r="Z28" s="19" t="s">
        <v>30</v>
      </c>
    </row>
    <row r="29" spans="1:26" ht="12" customHeight="1" x14ac:dyDescent="0.3">
      <c r="A29" s="1" t="s">
        <v>59</v>
      </c>
      <c r="B29" s="10">
        <v>14648</v>
      </c>
      <c r="C29" s="10">
        <v>15288</v>
      </c>
      <c r="D29" s="10">
        <v>15943</v>
      </c>
      <c r="E29" s="10">
        <v>16512</v>
      </c>
      <c r="F29" s="10">
        <v>17356</v>
      </c>
      <c r="G29" s="10">
        <v>18094</v>
      </c>
      <c r="H29" s="10">
        <v>18861</v>
      </c>
      <c r="I29" s="10">
        <v>19537</v>
      </c>
      <c r="J29" s="10">
        <v>20203</v>
      </c>
      <c r="K29" s="10">
        <v>21031</v>
      </c>
      <c r="L29" s="10">
        <v>22556</v>
      </c>
      <c r="M29" s="10">
        <v>23330</v>
      </c>
      <c r="N29" s="10">
        <v>24194</v>
      </c>
      <c r="O29" s="10">
        <v>25198</v>
      </c>
      <c r="P29" s="10">
        <v>26387</v>
      </c>
      <c r="Q29" s="10">
        <v>27770</v>
      </c>
      <c r="R29" s="10">
        <v>29052</v>
      </c>
      <c r="S29" s="10">
        <v>30519</v>
      </c>
      <c r="T29" s="10">
        <v>31864</v>
      </c>
      <c r="U29" s="10">
        <v>31359</v>
      </c>
      <c r="V29" s="10">
        <v>33874</v>
      </c>
      <c r="W29" s="10">
        <v>36242</v>
      </c>
      <c r="X29" s="10">
        <v>38780</v>
      </c>
      <c r="Y29" s="22">
        <f>SUM(Table1[[#This Row],[2001-
02]:[2023-
24]])</f>
        <v>558598</v>
      </c>
      <c r="Z29" s="19" t="s">
        <v>40</v>
      </c>
    </row>
    <row r="30" spans="1:26" ht="13" customHeight="1" x14ac:dyDescent="0.3">
      <c r="A30" s="1" t="s">
        <v>60</v>
      </c>
      <c r="B30" s="10">
        <v>1066</v>
      </c>
      <c r="C30" s="10">
        <v>1079</v>
      </c>
      <c r="D30" s="10">
        <v>1188</v>
      </c>
      <c r="E30" s="10">
        <v>1195</v>
      </c>
      <c r="F30" s="10">
        <v>1206</v>
      </c>
      <c r="G30" s="10">
        <v>1213</v>
      </c>
      <c r="H30" s="10">
        <v>1221</v>
      </c>
      <c r="I30" s="10">
        <v>1230</v>
      </c>
      <c r="J30" s="10">
        <v>1377</v>
      </c>
      <c r="K30" s="10">
        <v>1383</v>
      </c>
      <c r="L30" s="10">
        <v>1417</v>
      </c>
      <c r="M30" s="10">
        <v>1478</v>
      </c>
      <c r="N30" s="10">
        <v>1550</v>
      </c>
      <c r="O30" s="10">
        <v>1565</v>
      </c>
      <c r="P30" s="10">
        <v>1656</v>
      </c>
      <c r="Q30" s="10">
        <v>1692</v>
      </c>
      <c r="R30" s="10">
        <v>1742</v>
      </c>
      <c r="S30" s="10">
        <v>1792</v>
      </c>
      <c r="T30" s="10">
        <v>1845</v>
      </c>
      <c r="U30" s="10">
        <v>1797</v>
      </c>
      <c r="V30" s="10">
        <v>1856</v>
      </c>
      <c r="W30" s="10">
        <v>1859</v>
      </c>
      <c r="X30" s="10">
        <v>1898</v>
      </c>
      <c r="Y30" s="23">
        <f>SUM(Table1[[#This Row],[2001-
02]:[2023-
24]])</f>
        <v>34305</v>
      </c>
      <c r="Z30" s="19" t="s">
        <v>40</v>
      </c>
    </row>
    <row r="31" spans="1:26" ht="12" customHeight="1" x14ac:dyDescent="0.3">
      <c r="A31" s="1" t="s">
        <v>61</v>
      </c>
      <c r="B31" s="10">
        <v>3515</v>
      </c>
      <c r="C31" s="10">
        <v>3600</v>
      </c>
      <c r="D31" s="10">
        <v>3686</v>
      </c>
      <c r="E31" s="10">
        <v>3790</v>
      </c>
      <c r="F31" s="10">
        <v>3891</v>
      </c>
      <c r="G31" s="10">
        <v>3983</v>
      </c>
      <c r="H31" s="10">
        <v>4087</v>
      </c>
      <c r="I31" s="10">
        <v>4176</v>
      </c>
      <c r="J31" s="10">
        <v>4300</v>
      </c>
      <c r="K31" s="10">
        <v>4471</v>
      </c>
      <c r="L31" s="10">
        <v>4672</v>
      </c>
      <c r="M31" s="10">
        <v>4859</v>
      </c>
      <c r="N31" s="10">
        <v>4906</v>
      </c>
      <c r="O31" s="10">
        <v>4961</v>
      </c>
      <c r="P31" s="10">
        <v>5038</v>
      </c>
      <c r="Q31" s="10">
        <v>5183</v>
      </c>
      <c r="R31" s="10">
        <v>5389</v>
      </c>
      <c r="S31" s="10">
        <v>5607</v>
      </c>
      <c r="T31" s="10">
        <v>5869</v>
      </c>
      <c r="U31" s="10">
        <v>6165</v>
      </c>
      <c r="V31" s="10">
        <v>6414</v>
      </c>
      <c r="W31" s="10">
        <v>6969</v>
      </c>
      <c r="X31" s="10">
        <v>7650</v>
      </c>
      <c r="Y31" s="22">
        <f>SUM(Table1[[#This Row],[2001-
02]:[2023-
24]])</f>
        <v>113181</v>
      </c>
      <c r="Z31" s="19" t="s">
        <v>33</v>
      </c>
    </row>
    <row r="32" spans="1:26" ht="12" customHeight="1" x14ac:dyDescent="0.3">
      <c r="A32" s="1" t="s">
        <v>62</v>
      </c>
      <c r="B32" s="10">
        <v>23</v>
      </c>
      <c r="C32" s="10">
        <v>26</v>
      </c>
      <c r="D32" s="10">
        <v>25</v>
      </c>
      <c r="E32" s="10">
        <v>24</v>
      </c>
      <c r="F32" s="10">
        <v>20</v>
      </c>
      <c r="G32" s="10">
        <v>23</v>
      </c>
      <c r="H32" s="10">
        <v>24</v>
      </c>
      <c r="I32" s="10">
        <v>26</v>
      </c>
      <c r="J32" s="10">
        <v>24</v>
      </c>
      <c r="K32" s="10">
        <v>25</v>
      </c>
      <c r="L32" s="10">
        <v>26</v>
      </c>
      <c r="M32" s="10">
        <v>21</v>
      </c>
      <c r="N32" s="10">
        <v>14</v>
      </c>
      <c r="O32" s="10">
        <v>16</v>
      </c>
      <c r="P32" s="10">
        <v>15</v>
      </c>
      <c r="Q32" s="10">
        <v>16</v>
      </c>
      <c r="R32" s="10">
        <v>17</v>
      </c>
      <c r="S32" s="10">
        <v>18</v>
      </c>
      <c r="T32" s="10">
        <v>19</v>
      </c>
      <c r="U32" s="10">
        <v>15</v>
      </c>
      <c r="V32" s="10">
        <v>17</v>
      </c>
      <c r="W32" s="10">
        <v>17</v>
      </c>
      <c r="X32" s="10">
        <v>18</v>
      </c>
      <c r="Y32" s="22">
        <f>SUM(Table1[[#This Row],[2001-
02]:[2023-
24]])</f>
        <v>469</v>
      </c>
      <c r="Z32" s="19" t="s">
        <v>63</v>
      </c>
    </row>
    <row r="33" spans="1:26" ht="13" customHeight="1" x14ac:dyDescent="0.3">
      <c r="A33" s="1" t="s">
        <v>64</v>
      </c>
      <c r="B33" s="10">
        <v>43</v>
      </c>
      <c r="C33" s="10">
        <v>43</v>
      </c>
      <c r="D33" s="10">
        <v>44</v>
      </c>
      <c r="E33" s="10">
        <v>43</v>
      </c>
      <c r="F33" s="10">
        <v>46</v>
      </c>
      <c r="G33" s="10">
        <v>46</v>
      </c>
      <c r="H33" s="10">
        <v>47</v>
      </c>
      <c r="I33" s="10">
        <v>47</v>
      </c>
      <c r="J33" s="10">
        <v>46</v>
      </c>
      <c r="K33" s="10">
        <v>45</v>
      </c>
      <c r="L33" s="10">
        <v>45</v>
      </c>
      <c r="M33" s="10">
        <v>44</v>
      </c>
      <c r="N33" s="10">
        <v>44</v>
      </c>
      <c r="O33" s="10">
        <v>44</v>
      </c>
      <c r="P33" s="10">
        <v>43</v>
      </c>
      <c r="Q33" s="10">
        <v>36</v>
      </c>
      <c r="R33" s="10">
        <v>42</v>
      </c>
      <c r="S33" s="10">
        <v>45</v>
      </c>
      <c r="T33" s="10">
        <v>49</v>
      </c>
      <c r="U33" s="10">
        <v>52</v>
      </c>
      <c r="V33" s="10">
        <v>57</v>
      </c>
      <c r="W33" s="10">
        <v>56</v>
      </c>
      <c r="X33" s="11" t="s">
        <v>65</v>
      </c>
      <c r="Y33" s="23">
        <f>SUM(Table1[[#This Row],[2001-
02]:[2023-
24]])</f>
        <v>1007</v>
      </c>
      <c r="Z33" s="19" t="s">
        <v>40</v>
      </c>
    </row>
    <row r="34" spans="1:26" ht="12" customHeight="1" x14ac:dyDescent="0.3">
      <c r="A34" s="1" t="s">
        <v>66</v>
      </c>
      <c r="B34" s="16">
        <v>0</v>
      </c>
      <c r="C34" s="16">
        <v>0</v>
      </c>
      <c r="D34" s="16">
        <v>0</v>
      </c>
      <c r="E34" s="16">
        <v>0</v>
      </c>
      <c r="F34" s="16">
        <v>0</v>
      </c>
      <c r="G34" s="16">
        <v>0</v>
      </c>
      <c r="H34" s="16">
        <v>0</v>
      </c>
      <c r="I34" s="16">
        <v>0</v>
      </c>
      <c r="J34" s="16">
        <v>0</v>
      </c>
      <c r="K34" s="16">
        <v>0</v>
      </c>
      <c r="L34" s="16">
        <v>0</v>
      </c>
      <c r="M34" s="16">
        <v>0</v>
      </c>
      <c r="N34" s="16">
        <v>0</v>
      </c>
      <c r="O34" s="16">
        <v>0</v>
      </c>
      <c r="P34" s="16">
        <v>0</v>
      </c>
      <c r="Q34" s="16">
        <v>0</v>
      </c>
      <c r="R34" s="16">
        <v>0</v>
      </c>
      <c r="S34" s="16">
        <v>0</v>
      </c>
      <c r="T34" s="16">
        <v>0</v>
      </c>
      <c r="U34" s="10">
        <v>15</v>
      </c>
      <c r="V34" s="10">
        <v>29</v>
      </c>
      <c r="W34" s="10">
        <v>31</v>
      </c>
      <c r="X34" s="12">
        <v>29.31</v>
      </c>
      <c r="Y34" s="22">
        <f>SUM(Table1[[#This Row],[2001-
02]:[2023-
24]])</f>
        <v>104.31</v>
      </c>
      <c r="Z34" s="19" t="s">
        <v>40</v>
      </c>
    </row>
    <row r="35" spans="1:26" ht="12" customHeight="1" x14ac:dyDescent="0.3">
      <c r="A35" s="1" t="s">
        <v>67</v>
      </c>
      <c r="B35" s="10">
        <v>8</v>
      </c>
      <c r="C35" s="10">
        <v>8</v>
      </c>
      <c r="D35" s="10">
        <v>8</v>
      </c>
      <c r="E35" s="10">
        <v>4</v>
      </c>
      <c r="F35" s="10">
        <v>5</v>
      </c>
      <c r="G35" s="10">
        <v>5</v>
      </c>
      <c r="H35" s="10">
        <v>10</v>
      </c>
      <c r="I35" s="10">
        <v>10</v>
      </c>
      <c r="J35" s="10">
        <v>10</v>
      </c>
      <c r="K35" s="10">
        <v>11</v>
      </c>
      <c r="L35" s="10">
        <v>11</v>
      </c>
      <c r="M35" s="10">
        <v>11</v>
      </c>
      <c r="N35" s="10">
        <v>11</v>
      </c>
      <c r="O35" s="10">
        <v>9</v>
      </c>
      <c r="P35" s="13">
        <v>9</v>
      </c>
      <c r="Q35" s="13">
        <v>8</v>
      </c>
      <c r="R35" s="13">
        <v>8</v>
      </c>
      <c r="S35" s="13">
        <v>1</v>
      </c>
      <c r="T35" s="13">
        <v>1</v>
      </c>
      <c r="U35" s="13">
        <v>1</v>
      </c>
      <c r="V35" s="13">
        <v>2</v>
      </c>
      <c r="W35" s="13">
        <v>2</v>
      </c>
      <c r="X35" s="13">
        <v>2</v>
      </c>
      <c r="Y35" s="22">
        <f>SUM(Table1[[#This Row],[2001-
02]:[2023-
24]])</f>
        <v>155</v>
      </c>
      <c r="Z35" s="19" t="s">
        <v>37</v>
      </c>
    </row>
    <row r="36" spans="1:26" ht="13" customHeight="1" x14ac:dyDescent="0.3">
      <c r="A36" s="1" t="s">
        <v>68</v>
      </c>
      <c r="B36" s="10">
        <v>1</v>
      </c>
      <c r="C36" s="10">
        <v>1</v>
      </c>
      <c r="D36" s="10">
        <v>1</v>
      </c>
      <c r="E36" s="10">
        <v>1</v>
      </c>
      <c r="F36" s="10">
        <v>1</v>
      </c>
      <c r="G36" s="10">
        <v>1</v>
      </c>
      <c r="H36" s="10">
        <v>1</v>
      </c>
      <c r="I36" s="10">
        <v>1</v>
      </c>
      <c r="J36" s="10">
        <v>1</v>
      </c>
      <c r="K36" s="10">
        <v>1</v>
      </c>
      <c r="L36" s="10">
        <v>1</v>
      </c>
      <c r="M36" s="10">
        <v>1</v>
      </c>
      <c r="N36" s="10">
        <v>1</v>
      </c>
      <c r="O36" s="10">
        <v>1</v>
      </c>
      <c r="P36" s="14">
        <v>0</v>
      </c>
      <c r="Q36" s="14">
        <v>0</v>
      </c>
      <c r="R36" s="14">
        <v>0</v>
      </c>
      <c r="S36" s="14">
        <v>0</v>
      </c>
      <c r="T36" s="14">
        <v>0</v>
      </c>
      <c r="U36" s="14">
        <v>0</v>
      </c>
      <c r="V36" s="14">
        <v>0</v>
      </c>
      <c r="W36" s="14">
        <v>0</v>
      </c>
      <c r="X36" s="14">
        <v>0</v>
      </c>
      <c r="Y36" s="23">
        <f>SUM(Table1[[#This Row],[2001-
02]:[2023-
24]])</f>
        <v>14</v>
      </c>
      <c r="Z36" s="19" t="s">
        <v>37</v>
      </c>
    </row>
    <row r="37" spans="1:26" ht="12" customHeight="1" x14ac:dyDescent="0.3">
      <c r="A37" s="1" t="s">
        <v>69</v>
      </c>
      <c r="B37" s="10">
        <v>294</v>
      </c>
      <c r="C37" s="10">
        <v>296</v>
      </c>
      <c r="D37" s="10">
        <v>299</v>
      </c>
      <c r="E37" s="10">
        <v>303</v>
      </c>
      <c r="F37" s="10">
        <v>310</v>
      </c>
      <c r="G37" s="10">
        <v>288</v>
      </c>
      <c r="H37" s="10">
        <v>445</v>
      </c>
      <c r="I37" s="10">
        <v>450</v>
      </c>
      <c r="J37" s="10">
        <v>466</v>
      </c>
      <c r="K37" s="10">
        <v>480</v>
      </c>
      <c r="L37" s="10">
        <v>502</v>
      </c>
      <c r="M37" s="10">
        <v>287</v>
      </c>
      <c r="N37" s="10">
        <v>284</v>
      </c>
      <c r="O37" s="10">
        <v>280</v>
      </c>
      <c r="P37" s="10">
        <v>281</v>
      </c>
      <c r="Q37" s="10">
        <v>279</v>
      </c>
      <c r="R37" s="10">
        <v>279</v>
      </c>
      <c r="S37" s="17">
        <v>300</v>
      </c>
      <c r="T37" s="17">
        <v>300</v>
      </c>
      <c r="U37" s="17">
        <v>450</v>
      </c>
      <c r="V37" s="17">
        <v>450</v>
      </c>
      <c r="W37" s="10">
        <v>488</v>
      </c>
      <c r="X37" s="10">
        <v>488</v>
      </c>
      <c r="Y37" s="22">
        <f>SUM(Table1[[#This Row],[2001-
02]:[2023-
24]])</f>
        <v>8299</v>
      </c>
      <c r="Z37" s="19" t="s">
        <v>40</v>
      </c>
    </row>
    <row r="38" spans="1:26" ht="13" customHeight="1" x14ac:dyDescent="0.3">
      <c r="A38" s="1" t="s">
        <v>70</v>
      </c>
      <c r="B38" s="10">
        <v>2</v>
      </c>
      <c r="C38" s="10">
        <v>2</v>
      </c>
      <c r="D38" s="10">
        <v>1</v>
      </c>
      <c r="E38" s="10">
        <v>1</v>
      </c>
      <c r="F38" s="10">
        <v>2</v>
      </c>
      <c r="G38" s="10">
        <v>2</v>
      </c>
      <c r="H38" s="10">
        <v>2</v>
      </c>
      <c r="I38" s="10">
        <v>2</v>
      </c>
      <c r="J38" s="10">
        <v>2</v>
      </c>
      <c r="K38" s="10">
        <v>2</v>
      </c>
      <c r="L38" s="10">
        <v>2</v>
      </c>
      <c r="M38" s="10">
        <v>2</v>
      </c>
      <c r="N38" s="10">
        <v>6</v>
      </c>
      <c r="O38" s="10">
        <v>4</v>
      </c>
      <c r="P38" s="10">
        <v>3</v>
      </c>
      <c r="Q38" s="10">
        <v>3</v>
      </c>
      <c r="R38" s="10">
        <v>3</v>
      </c>
      <c r="S38" s="10">
        <v>4</v>
      </c>
      <c r="T38" s="10">
        <v>4</v>
      </c>
      <c r="U38" s="10">
        <v>4</v>
      </c>
      <c r="V38" s="10">
        <v>0.42</v>
      </c>
      <c r="W38" s="10">
        <v>0.41</v>
      </c>
      <c r="X38" s="10">
        <v>0.39</v>
      </c>
      <c r="Y38" s="23">
        <f>SUM(Table1[[#This Row],[2001-
02]:[2023-
24]])</f>
        <v>54.22</v>
      </c>
      <c r="Z38" s="19" t="s">
        <v>63</v>
      </c>
    </row>
    <row r="39" spans="1:26" ht="12" customHeight="1" x14ac:dyDescent="0.3">
      <c r="A39" s="3" t="s">
        <v>71</v>
      </c>
      <c r="B39" s="15">
        <v>37</v>
      </c>
      <c r="C39" s="15">
        <v>37</v>
      </c>
      <c r="D39" s="15">
        <v>40</v>
      </c>
      <c r="E39" s="15">
        <v>41</v>
      </c>
      <c r="F39" s="15">
        <v>43</v>
      </c>
      <c r="G39" s="15">
        <v>45</v>
      </c>
      <c r="H39" s="15">
        <v>46</v>
      </c>
      <c r="I39" s="15">
        <v>46</v>
      </c>
      <c r="J39" s="15">
        <v>46</v>
      </c>
      <c r="K39" s="15">
        <v>47</v>
      </c>
      <c r="L39" s="15">
        <v>45</v>
      </c>
      <c r="M39" s="15">
        <v>47</v>
      </c>
      <c r="N39" s="15">
        <v>47</v>
      </c>
      <c r="O39" s="15">
        <v>48</v>
      </c>
      <c r="P39" s="15">
        <v>48</v>
      </c>
      <c r="Q39" s="15">
        <v>48</v>
      </c>
      <c r="R39" s="15">
        <v>49</v>
      </c>
      <c r="S39" s="15">
        <v>49</v>
      </c>
      <c r="T39" s="15">
        <v>50</v>
      </c>
      <c r="U39" s="15">
        <v>50</v>
      </c>
      <c r="V39" s="15">
        <v>50</v>
      </c>
      <c r="W39" s="15">
        <v>50</v>
      </c>
      <c r="X39" s="15">
        <v>50</v>
      </c>
      <c r="Y39" s="22">
        <f>SUM(Table1[[#This Row],[2001-
02]:[2023-
24]])</f>
        <v>1059</v>
      </c>
      <c r="Z39" s="19" t="s">
        <v>28</v>
      </c>
    </row>
    <row r="48" spans="1:26" x14ac:dyDescent="0.3">
      <c r="J48" s="18"/>
    </row>
    <row r="49" spans="10:10" x14ac:dyDescent="0.3">
      <c r="J49" s="18"/>
    </row>
    <row r="50" spans="10:10" x14ac:dyDescent="0.3">
      <c r="J50" s="18"/>
    </row>
    <row r="51" spans="10:10" x14ac:dyDescent="0.3">
      <c r="J51" s="18"/>
    </row>
    <row r="52" spans="10:10" x14ac:dyDescent="0.3">
      <c r="J52" s="18"/>
    </row>
    <row r="53" spans="10:10" x14ac:dyDescent="0.3">
      <c r="J53" s="18"/>
    </row>
    <row r="54" spans="10:10" x14ac:dyDescent="0.3">
      <c r="J54" s="18"/>
    </row>
    <row r="55" spans="10:10" x14ac:dyDescent="0.3">
      <c r="J55" s="18"/>
    </row>
    <row r="56" spans="10:10" x14ac:dyDescent="0.3">
      <c r="J56" s="18"/>
    </row>
    <row r="57" spans="10:10" x14ac:dyDescent="0.3">
      <c r="J57" s="18"/>
    </row>
    <row r="58" spans="10:10" x14ac:dyDescent="0.3">
      <c r="J58" s="18"/>
    </row>
    <row r="59" spans="10:10" x14ac:dyDescent="0.3">
      <c r="J59" s="18"/>
    </row>
    <row r="60" spans="10:10" x14ac:dyDescent="0.3">
      <c r="J60" s="18"/>
    </row>
    <row r="61" spans="10:10" x14ac:dyDescent="0.3">
      <c r="J61" s="18"/>
    </row>
    <row r="62" spans="10:10" x14ac:dyDescent="0.3">
      <c r="J62" s="18"/>
    </row>
    <row r="63" spans="10:10" x14ac:dyDescent="0.3">
      <c r="J63" s="18"/>
    </row>
    <row r="64" spans="10:10" x14ac:dyDescent="0.3">
      <c r="J64" s="18"/>
    </row>
    <row r="65" spans="10:10" x14ac:dyDescent="0.3">
      <c r="J65" s="18"/>
    </row>
    <row r="66" spans="10:10" x14ac:dyDescent="0.3">
      <c r="J66" s="18"/>
    </row>
    <row r="67" spans="10:10" x14ac:dyDescent="0.3">
      <c r="J67" s="18"/>
    </row>
    <row r="68" spans="10:10" x14ac:dyDescent="0.3">
      <c r="J68" s="18"/>
    </row>
    <row r="69" spans="10:10" x14ac:dyDescent="0.3">
      <c r="J69" s="18"/>
    </row>
    <row r="70" spans="10:10" x14ac:dyDescent="0.3">
      <c r="J70" s="18"/>
    </row>
    <row r="71" spans="10:10" x14ac:dyDescent="0.3">
      <c r="J71" s="18"/>
    </row>
    <row r="72" spans="10:10" x14ac:dyDescent="0.3">
      <c r="J72" s="18"/>
    </row>
    <row r="73" spans="10:10" x14ac:dyDescent="0.3">
      <c r="J73" s="18"/>
    </row>
    <row r="74" spans="10:10" x14ac:dyDescent="0.3">
      <c r="J74" s="18"/>
    </row>
    <row r="75" spans="10:10" x14ac:dyDescent="0.3">
      <c r="J75" s="18"/>
    </row>
    <row r="76" spans="10:10" x14ac:dyDescent="0.3">
      <c r="J76" s="18"/>
    </row>
    <row r="77" spans="10:10" x14ac:dyDescent="0.3">
      <c r="J77" s="18"/>
    </row>
    <row r="78" spans="10:10" x14ac:dyDescent="0.3">
      <c r="J78" s="18"/>
    </row>
    <row r="79" spans="10:10" x14ac:dyDescent="0.3">
      <c r="J79" s="18"/>
    </row>
    <row r="80" spans="10:10" x14ac:dyDescent="0.3">
      <c r="J80" s="18"/>
    </row>
    <row r="81" spans="10:10" x14ac:dyDescent="0.3">
      <c r="J81" s="18"/>
    </row>
    <row r="82" spans="10:10" x14ac:dyDescent="0.3">
      <c r="J82" s="18"/>
    </row>
    <row r="83" spans="10:10" x14ac:dyDescent="0.3">
      <c r="J83" s="18"/>
    </row>
    <row r="84" spans="10:10" x14ac:dyDescent="0.3">
      <c r="J84" s="18"/>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U24"/>
  <sheetViews>
    <sheetView showGridLines="0" tabSelected="1" zoomScale="90" zoomScaleNormal="90" workbookViewId="0">
      <selection activeCell="W34" sqref="W34"/>
    </sheetView>
  </sheetViews>
  <sheetFormatPr defaultRowHeight="13" x14ac:dyDescent="0.3"/>
  <cols>
    <col min="17" max="17" width="8.796875" customWidth="1"/>
  </cols>
  <sheetData>
    <row r="2" spans="1:21" x14ac:dyDescent="0.3">
      <c r="A2" s="62" t="s">
        <v>73</v>
      </c>
      <c r="B2" s="62"/>
      <c r="C2" s="62"/>
      <c r="D2" s="62"/>
      <c r="E2" s="62"/>
      <c r="F2" s="62"/>
      <c r="G2" s="62"/>
      <c r="H2" s="62"/>
      <c r="I2" s="62"/>
      <c r="J2" s="62"/>
      <c r="K2" s="62"/>
      <c r="L2" s="62"/>
      <c r="M2" s="62"/>
      <c r="N2" s="62"/>
      <c r="O2" s="62"/>
      <c r="P2" s="62"/>
      <c r="Q2" s="62"/>
      <c r="R2" s="62"/>
      <c r="S2" s="62"/>
      <c r="T2" s="62"/>
    </row>
    <row r="3" spans="1:21" x14ac:dyDescent="0.3">
      <c r="A3" s="62"/>
      <c r="B3" s="62"/>
      <c r="C3" s="62"/>
      <c r="D3" s="62"/>
      <c r="E3" s="62"/>
      <c r="F3" s="62"/>
      <c r="G3" s="62"/>
      <c r="H3" s="62"/>
      <c r="I3" s="62"/>
      <c r="J3" s="62"/>
      <c r="K3" s="62"/>
      <c r="L3" s="62"/>
      <c r="M3" s="62"/>
      <c r="N3" s="62"/>
      <c r="O3" s="62"/>
      <c r="P3" s="62"/>
      <c r="Q3" s="62"/>
      <c r="R3" s="62"/>
      <c r="S3" s="62"/>
      <c r="T3" s="62"/>
    </row>
    <row r="4" spans="1:21" x14ac:dyDescent="0.3">
      <c r="A4" s="62"/>
      <c r="B4" s="62"/>
      <c r="C4" s="62"/>
      <c r="D4" s="62"/>
      <c r="E4" s="62"/>
      <c r="F4" s="62"/>
      <c r="G4" s="62"/>
      <c r="H4" s="62"/>
      <c r="I4" s="62"/>
      <c r="J4" s="62"/>
      <c r="K4" s="62"/>
      <c r="L4" s="62"/>
      <c r="M4" s="62"/>
      <c r="N4" s="62"/>
      <c r="O4" s="62"/>
      <c r="P4" s="62"/>
      <c r="Q4" s="62"/>
      <c r="R4" s="62"/>
      <c r="S4" s="62"/>
      <c r="T4" s="62"/>
    </row>
    <row r="5" spans="1:21" ht="13.5" thickBot="1" x14ac:dyDescent="0.35">
      <c r="A5" s="63"/>
      <c r="B5" s="63"/>
    </row>
    <row r="6" spans="1:21" ht="14.15" customHeight="1" x14ac:dyDescent="0.3">
      <c r="A6" s="63"/>
      <c r="B6" s="63"/>
      <c r="C6" s="66" t="s">
        <v>74</v>
      </c>
      <c r="D6" s="67"/>
      <c r="E6" s="67"/>
      <c r="F6" s="67"/>
      <c r="G6" s="68"/>
      <c r="H6" s="28"/>
      <c r="N6" s="39" t="s">
        <v>75</v>
      </c>
      <c r="O6" s="39"/>
      <c r="P6" s="39"/>
      <c r="Q6" s="40"/>
      <c r="R6" s="30"/>
      <c r="S6" s="65" t="s">
        <v>76</v>
      </c>
      <c r="T6" s="65"/>
      <c r="U6" s="6"/>
    </row>
    <row r="7" spans="1:21" ht="14.5" customHeight="1" x14ac:dyDescent="0.3">
      <c r="A7" s="63"/>
      <c r="B7" s="63"/>
      <c r="C7" s="69"/>
      <c r="D7" s="70"/>
      <c r="E7" s="70"/>
      <c r="F7" s="70"/>
      <c r="G7" s="71"/>
      <c r="N7" s="41"/>
      <c r="O7" s="41"/>
      <c r="P7" s="41"/>
      <c r="Q7" s="42"/>
      <c r="R7" s="30"/>
      <c r="S7" s="64" t="s">
        <v>77</v>
      </c>
      <c r="T7" s="64"/>
      <c r="U7" s="6"/>
    </row>
    <row r="8" spans="1:21" ht="14.5" customHeight="1" x14ac:dyDescent="0.3">
      <c r="A8" s="63"/>
      <c r="B8" s="63"/>
      <c r="C8" s="72">
        <f>GETPIVOTDATA("Milk",Sheet2!$S$3)</f>
        <v>1567</v>
      </c>
      <c r="D8" s="73"/>
      <c r="E8" s="73"/>
      <c r="F8" s="73"/>
      <c r="G8" s="74"/>
      <c r="N8" s="36" t="str">
        <f>Sheet2!Z4</f>
        <v>Uttar Pradesh</v>
      </c>
      <c r="O8" s="37"/>
      <c r="P8" s="37"/>
      <c r="Q8" s="38"/>
      <c r="R8" s="30"/>
      <c r="S8" s="81" t="s">
        <v>39</v>
      </c>
      <c r="T8" s="81"/>
      <c r="U8" s="6"/>
    </row>
    <row r="9" spans="1:21" ht="14.5" customHeight="1" thickBot="1" x14ac:dyDescent="0.35">
      <c r="A9" s="63"/>
      <c r="B9" s="63"/>
      <c r="C9" s="75"/>
      <c r="D9" s="76"/>
      <c r="E9" s="76"/>
      <c r="F9" s="76"/>
      <c r="G9" s="77"/>
      <c r="N9" s="36" t="str">
        <f>Sheet2!Z5</f>
        <v>Madhya Pradesh</v>
      </c>
      <c r="O9" s="37"/>
      <c r="P9" s="37"/>
      <c r="Q9" s="38"/>
      <c r="R9" s="30"/>
      <c r="S9" s="81"/>
      <c r="T9" s="81"/>
      <c r="U9" s="6"/>
    </row>
    <row r="10" spans="1:21" ht="15" customHeight="1" thickBot="1" x14ac:dyDescent="0.35">
      <c r="A10" s="63"/>
      <c r="B10" s="63"/>
      <c r="N10" s="36" t="str">
        <f>Sheet2!Z6</f>
        <v>Andhra Pradesh</v>
      </c>
      <c r="O10" s="37"/>
      <c r="P10" s="37"/>
      <c r="Q10" s="38"/>
      <c r="R10" s="30"/>
      <c r="S10" s="46" t="str">
        <f>VLOOKUP($S$8,Sheet2!$AC$1:$AD$21,2,FALSE)</f>
        <v>Linear growth after 2020 due to covid, excpected to boom after 2024-2025</v>
      </c>
      <c r="T10" s="47"/>
      <c r="U10" s="6"/>
    </row>
    <row r="11" spans="1:21" ht="14.5" x14ac:dyDescent="0.3">
      <c r="A11" s="63"/>
      <c r="B11" s="63"/>
      <c r="C11" s="78" t="s">
        <v>78</v>
      </c>
      <c r="D11" s="79"/>
      <c r="E11" s="79"/>
      <c r="F11" s="79"/>
      <c r="G11" s="80"/>
      <c r="N11" s="36" t="str">
        <f>Sheet2!Z7</f>
        <v>Gujarat</v>
      </c>
      <c r="O11" s="37"/>
      <c r="P11" s="37"/>
      <c r="Q11" s="38"/>
      <c r="R11" s="30"/>
      <c r="S11" s="48"/>
      <c r="T11" s="49"/>
      <c r="U11" s="6"/>
    </row>
    <row r="12" spans="1:21" ht="14.5" x14ac:dyDescent="0.3">
      <c r="A12" s="63"/>
      <c r="B12" s="63"/>
      <c r="C12" s="36" t="str">
        <f>Sheet2!V2</f>
        <v>North India</v>
      </c>
      <c r="D12" s="37"/>
      <c r="E12" s="37"/>
      <c r="F12" s="37"/>
      <c r="G12" s="38"/>
      <c r="N12" s="36" t="str">
        <f>Sheet2!Z8</f>
        <v>Maharashtra</v>
      </c>
      <c r="O12" s="37"/>
      <c r="P12" s="37"/>
      <c r="Q12" s="38"/>
      <c r="R12" s="30"/>
      <c r="S12" s="48"/>
      <c r="T12" s="49"/>
    </row>
    <row r="13" spans="1:21" ht="14.5" x14ac:dyDescent="0.3">
      <c r="A13" s="63"/>
      <c r="B13" s="63"/>
      <c r="C13" s="36" t="str">
        <f>Sheet2!V3</f>
        <v>South India</v>
      </c>
      <c r="D13" s="37"/>
      <c r="E13" s="37"/>
      <c r="F13" s="37"/>
      <c r="G13" s="38"/>
      <c r="N13" s="36" t="str">
        <f>Sheet2!Z9</f>
        <v>Haryana</v>
      </c>
      <c r="O13" s="37"/>
      <c r="P13" s="37"/>
      <c r="Q13" s="38"/>
      <c r="R13" s="30"/>
      <c r="S13" s="48"/>
      <c r="T13" s="49"/>
      <c r="U13" s="6"/>
    </row>
    <row r="14" spans="1:21" ht="14.5" x14ac:dyDescent="0.3">
      <c r="A14" s="63"/>
      <c r="B14" s="63"/>
      <c r="C14" s="36" t="str">
        <f>Sheet2!V4</f>
        <v>West India</v>
      </c>
      <c r="D14" s="37"/>
      <c r="E14" s="37"/>
      <c r="F14" s="37"/>
      <c r="G14" s="38"/>
      <c r="N14" s="36" t="str">
        <f>Sheet2!Z10</f>
        <v>Bihar</v>
      </c>
      <c r="O14" s="37"/>
      <c r="P14" s="37"/>
      <c r="Q14" s="38"/>
      <c r="R14" s="30"/>
      <c r="S14" s="48"/>
      <c r="T14" s="49"/>
    </row>
    <row r="15" spans="1:21" ht="14.5" x14ac:dyDescent="0.3">
      <c r="A15" s="63"/>
      <c r="B15" s="63"/>
      <c r="C15" s="36" t="str">
        <f>Sheet2!V5</f>
        <v>East India</v>
      </c>
      <c r="D15" s="37"/>
      <c r="E15" s="37"/>
      <c r="F15" s="37"/>
      <c r="G15" s="38"/>
      <c r="N15" s="36" t="str">
        <f>Sheet2!Z11</f>
        <v>Punjab</v>
      </c>
      <c r="O15" s="37"/>
      <c r="P15" s="37"/>
      <c r="Q15" s="38"/>
      <c r="R15" s="30"/>
      <c r="S15" s="48"/>
      <c r="T15" s="49"/>
    </row>
    <row r="16" spans="1:21" ht="14.5" x14ac:dyDescent="0.3">
      <c r="A16" s="63"/>
      <c r="B16" s="63"/>
      <c r="C16" s="36" t="str">
        <f>Sheet2!V6</f>
        <v>Central India</v>
      </c>
      <c r="D16" s="37"/>
      <c r="E16" s="37"/>
      <c r="F16" s="37"/>
      <c r="G16" s="38"/>
      <c r="N16" s="36" t="str">
        <f>Sheet2!Z12</f>
        <v>Telangana</v>
      </c>
      <c r="O16" s="37"/>
      <c r="P16" s="37"/>
      <c r="Q16" s="38"/>
      <c r="R16" s="30"/>
      <c r="S16" s="48"/>
      <c r="T16" s="49"/>
      <c r="U16" s="6"/>
    </row>
    <row r="17" spans="1:21" ht="15" thickBot="1" x14ac:dyDescent="0.35">
      <c r="A17" s="63"/>
      <c r="B17" s="63"/>
      <c r="C17" s="43" t="str">
        <f>Sheet2!V7</f>
        <v>North East India</v>
      </c>
      <c r="D17" s="44"/>
      <c r="E17" s="44"/>
      <c r="F17" s="44"/>
      <c r="G17" s="45"/>
      <c r="N17" s="43" t="str">
        <f>Sheet2!Z13</f>
        <v>Karnataka</v>
      </c>
      <c r="O17" s="44"/>
      <c r="P17" s="44"/>
      <c r="Q17" s="45"/>
      <c r="R17" s="30"/>
      <c r="S17" s="50"/>
      <c r="T17" s="51"/>
      <c r="U17" s="6"/>
    </row>
    <row r="18" spans="1:21" ht="13" customHeight="1" thickBot="1" x14ac:dyDescent="0.35">
      <c r="A18" s="63"/>
      <c r="B18" s="63"/>
      <c r="R18" s="30"/>
    </row>
    <row r="19" spans="1:21" ht="13" customHeight="1" x14ac:dyDescent="0.3">
      <c r="A19" s="63"/>
      <c r="B19" s="63"/>
      <c r="R19" s="30"/>
      <c r="S19" s="52" t="s">
        <v>79</v>
      </c>
      <c r="T19" s="53"/>
      <c r="U19" s="6"/>
    </row>
    <row r="20" spans="1:21" ht="13" customHeight="1" x14ac:dyDescent="0.3">
      <c r="A20" s="63"/>
      <c r="B20" s="63"/>
      <c r="R20" s="30"/>
      <c r="S20" s="54"/>
      <c r="T20" s="55"/>
    </row>
    <row r="21" spans="1:21" ht="20" thickBot="1" x14ac:dyDescent="0.35">
      <c r="A21" s="63"/>
      <c r="B21" s="63"/>
      <c r="D21" s="35"/>
      <c r="E21" s="35"/>
      <c r="F21" s="35"/>
      <c r="G21" s="35"/>
      <c r="H21" s="35"/>
      <c r="I21" s="35"/>
      <c r="J21" s="35"/>
      <c r="K21" s="35"/>
      <c r="L21" s="35"/>
      <c r="M21" s="35"/>
      <c r="N21" s="35"/>
      <c r="O21" s="35"/>
      <c r="P21" s="35"/>
      <c r="Q21" s="35"/>
      <c r="R21" s="30"/>
      <c r="S21" s="56"/>
      <c r="T21" s="57"/>
      <c r="U21" s="6"/>
    </row>
    <row r="22" spans="1:21" ht="13.5" customHeight="1" thickTop="1" x14ac:dyDescent="0.3">
      <c r="A22" s="63"/>
      <c r="B22" s="63"/>
      <c r="R22" s="30"/>
      <c r="S22" s="58">
        <f>GETPIVOTDATA("Milk",Sheet2!$AF$5)</f>
        <v>1567</v>
      </c>
      <c r="T22" s="59"/>
      <c r="U22" s="6"/>
    </row>
    <row r="23" spans="1:21" ht="20" thickBot="1" x14ac:dyDescent="0.35">
      <c r="C23" s="35"/>
      <c r="D23" s="35"/>
      <c r="E23" s="35"/>
      <c r="F23" s="35"/>
      <c r="G23" s="35"/>
      <c r="H23" s="35"/>
      <c r="I23" s="35"/>
      <c r="J23" s="35"/>
      <c r="K23" s="35"/>
      <c r="L23" s="35"/>
      <c r="M23" s="35"/>
      <c r="N23" s="35"/>
      <c r="O23" s="35"/>
      <c r="P23" s="35"/>
      <c r="Q23" s="35"/>
      <c r="S23" s="60"/>
      <c r="T23" s="61"/>
    </row>
    <row r="24" spans="1:21" ht="13.5" thickTop="1" x14ac:dyDescent="0.3"/>
  </sheetData>
  <mergeCells count="30">
    <mergeCell ref="S10:T17"/>
    <mergeCell ref="S19:T21"/>
    <mergeCell ref="S22:T23"/>
    <mergeCell ref="A2:T4"/>
    <mergeCell ref="A5:B22"/>
    <mergeCell ref="S7:T7"/>
    <mergeCell ref="S6:T6"/>
    <mergeCell ref="C14:G14"/>
    <mergeCell ref="C15:G15"/>
    <mergeCell ref="C16:G16"/>
    <mergeCell ref="C17:G17"/>
    <mergeCell ref="C6:G7"/>
    <mergeCell ref="C8:G9"/>
    <mergeCell ref="C11:G11"/>
    <mergeCell ref="C12:G12"/>
    <mergeCell ref="S8:T9"/>
    <mergeCell ref="C23:Q23"/>
    <mergeCell ref="N8:Q8"/>
    <mergeCell ref="N6:Q7"/>
    <mergeCell ref="N9:Q9"/>
    <mergeCell ref="N10:Q10"/>
    <mergeCell ref="N11:Q11"/>
    <mergeCell ref="N12:Q12"/>
    <mergeCell ref="N13:Q13"/>
    <mergeCell ref="N14:Q14"/>
    <mergeCell ref="N15:Q15"/>
    <mergeCell ref="N16:Q16"/>
    <mergeCell ref="N17:Q17"/>
    <mergeCell ref="C13:G13"/>
    <mergeCell ref="D21:Q2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Sheet2!$AC$1:$AC$21</xm:f>
          </x14:formula1>
          <xm:sqref>S8</xm:sqref>
        </x14:dataValidation>
      </x14:dataValidation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J118"/>
  <sheetViews>
    <sheetView topLeftCell="AB1" zoomScale="90" zoomScaleNormal="90" workbookViewId="0">
      <selection activeCell="AF6" sqref="AF6"/>
    </sheetView>
  </sheetViews>
  <sheetFormatPr defaultRowHeight="13" x14ac:dyDescent="0.3"/>
  <cols>
    <col min="1" max="1" width="6.5" customWidth="1"/>
    <col min="2" max="2" width="28.796875" customWidth="1"/>
    <col min="3" max="3" width="16.19921875" customWidth="1"/>
    <col min="4" max="4" width="14.69921875" customWidth="1"/>
    <col min="5" max="5" width="11.796875" customWidth="1"/>
    <col min="6" max="6" width="16.19921875" customWidth="1"/>
    <col min="7" max="7" width="13.8984375" customWidth="1"/>
    <col min="8" max="8" width="13.796875" customWidth="1"/>
    <col min="9" max="10" width="16.19921875" customWidth="1"/>
    <col min="11" max="11" width="20.19921875" bestFit="1" customWidth="1"/>
    <col min="12" max="12" width="16.19921875" customWidth="1"/>
    <col min="13" max="13" width="21.09765625" customWidth="1"/>
    <col min="14" max="14" width="11.8984375" customWidth="1"/>
    <col min="15" max="16" width="16.19921875" customWidth="1"/>
    <col min="17" max="17" width="14.5" customWidth="1"/>
    <col min="18" max="18" width="14.5" bestFit="1" customWidth="1"/>
    <col min="19" max="19" width="11.8984375" customWidth="1"/>
    <col min="20" max="20" width="10.3984375" customWidth="1"/>
    <col min="21" max="21" width="14.5" bestFit="1" customWidth="1"/>
    <col min="22" max="22" width="15.296875" customWidth="1"/>
    <col min="23" max="23" width="12.5" customWidth="1"/>
    <col min="24" max="25" width="5.796875" bestFit="1" customWidth="1"/>
    <col min="26" max="26" width="15.5" customWidth="1"/>
    <col min="27" max="27" width="12.5" customWidth="1"/>
    <col min="28" max="28" width="17.296875" customWidth="1"/>
    <col min="29" max="29" width="23" bestFit="1" customWidth="1"/>
    <col min="30" max="30" width="91.296875" bestFit="1" customWidth="1"/>
    <col min="31" max="31" width="6.796875" bestFit="1" customWidth="1"/>
    <col min="32" max="32" width="11.8984375" customWidth="1"/>
    <col min="33" max="33" width="13.796875" customWidth="1"/>
    <col min="34" max="35" width="6.796875" bestFit="1" customWidth="1"/>
    <col min="36" max="36" width="7.19921875" bestFit="1" customWidth="1"/>
    <col min="37" max="37" width="6.796875" bestFit="1" customWidth="1"/>
    <col min="38" max="38" width="11.296875" bestFit="1" customWidth="1"/>
  </cols>
  <sheetData>
    <row r="1" spans="1:36" x14ac:dyDescent="0.3">
      <c r="A1" s="20" t="s">
        <v>25</v>
      </c>
      <c r="B1" t="s">
        <v>40</v>
      </c>
      <c r="D1" s="20" t="s">
        <v>80</v>
      </c>
      <c r="E1" t="s">
        <v>81</v>
      </c>
      <c r="G1" s="20" t="s">
        <v>25</v>
      </c>
      <c r="H1" t="s">
        <v>81</v>
      </c>
      <c r="J1" s="20" t="s">
        <v>82</v>
      </c>
      <c r="K1" t="s">
        <v>83</v>
      </c>
      <c r="P1" s="6" t="s">
        <v>84</v>
      </c>
      <c r="S1" s="20" t="s">
        <v>80</v>
      </c>
      <c r="T1" t="s">
        <v>18</v>
      </c>
      <c r="V1" s="20" t="s">
        <v>82</v>
      </c>
      <c r="W1" t="s">
        <v>85</v>
      </c>
      <c r="Z1" s="20" t="s">
        <v>80</v>
      </c>
      <c r="AA1" t="s">
        <v>18</v>
      </c>
      <c r="AC1" s="31" t="s">
        <v>86</v>
      </c>
      <c r="AD1" s="32" t="s">
        <v>87</v>
      </c>
      <c r="AF1" s="20" t="s">
        <v>25</v>
      </c>
      <c r="AG1" t="s">
        <v>81</v>
      </c>
    </row>
    <row r="2" spans="1:36" x14ac:dyDescent="0.3">
      <c r="G2" s="20" t="s">
        <v>0</v>
      </c>
      <c r="H2" t="s">
        <v>34</v>
      </c>
      <c r="J2" t="s">
        <v>32</v>
      </c>
      <c r="K2" s="26">
        <v>3.8246996996996998</v>
      </c>
      <c r="P2" t="s">
        <v>88</v>
      </c>
      <c r="V2" t="s">
        <v>40</v>
      </c>
      <c r="W2" s="25">
        <v>55512</v>
      </c>
      <c r="AC2" s="31" t="s">
        <v>89</v>
      </c>
      <c r="AD2" s="32" t="s">
        <v>90</v>
      </c>
      <c r="AF2" s="20" t="s">
        <v>80</v>
      </c>
      <c r="AG2" t="s">
        <v>18</v>
      </c>
    </row>
    <row r="3" spans="1:36" x14ac:dyDescent="0.3">
      <c r="A3" s="20" t="s">
        <v>82</v>
      </c>
      <c r="B3" t="s">
        <v>85</v>
      </c>
      <c r="D3" s="20" t="s">
        <v>82</v>
      </c>
      <c r="E3" t="s">
        <v>85</v>
      </c>
      <c r="J3" t="s">
        <v>54</v>
      </c>
      <c r="K3" s="26">
        <v>3.4770559422531582</v>
      </c>
      <c r="M3" s="20" t="s">
        <v>80</v>
      </c>
      <c r="N3" t="s">
        <v>18</v>
      </c>
      <c r="P3" t="s">
        <v>91</v>
      </c>
      <c r="S3" t="s">
        <v>85</v>
      </c>
      <c r="V3" t="s">
        <v>28</v>
      </c>
      <c r="W3" s="25">
        <v>41275</v>
      </c>
      <c r="Z3" s="20" t="s">
        <v>82</v>
      </c>
      <c r="AA3" t="s">
        <v>85</v>
      </c>
      <c r="AC3" s="31" t="s">
        <v>92</v>
      </c>
      <c r="AD3" s="32" t="s">
        <v>93</v>
      </c>
      <c r="AF3" s="20" t="s">
        <v>0</v>
      </c>
      <c r="AG3" t="s">
        <v>34</v>
      </c>
    </row>
    <row r="4" spans="1:36" x14ac:dyDescent="0.3">
      <c r="A4" t="s">
        <v>59</v>
      </c>
      <c r="B4" s="25">
        <v>464324</v>
      </c>
      <c r="D4" t="s">
        <v>59</v>
      </c>
      <c r="E4" s="25">
        <v>464324</v>
      </c>
      <c r="G4" s="20" t="s">
        <v>82</v>
      </c>
      <c r="H4" t="s">
        <v>85</v>
      </c>
      <c r="J4" t="s">
        <v>46</v>
      </c>
      <c r="K4" s="26">
        <v>3.0367215597198562</v>
      </c>
      <c r="P4" t="s">
        <v>94</v>
      </c>
      <c r="S4" s="25">
        <v>1567</v>
      </c>
      <c r="V4" t="s">
        <v>37</v>
      </c>
      <c r="W4" s="25">
        <v>26205</v>
      </c>
      <c r="Z4" t="s">
        <v>59</v>
      </c>
      <c r="AA4" s="25">
        <v>23146</v>
      </c>
      <c r="AC4" s="31" t="s">
        <v>47</v>
      </c>
      <c r="AD4" s="32" t="s">
        <v>95</v>
      </c>
      <c r="AJ4" s="33"/>
    </row>
    <row r="5" spans="1:36" x14ac:dyDescent="0.3">
      <c r="A5" t="s">
        <v>53</v>
      </c>
      <c r="B5" s="25">
        <v>193993</v>
      </c>
      <c r="D5" t="s">
        <v>27</v>
      </c>
      <c r="E5" s="25">
        <v>256402</v>
      </c>
      <c r="G5" t="s">
        <v>96</v>
      </c>
      <c r="H5" s="25">
        <v>795</v>
      </c>
      <c r="J5" t="s">
        <v>43</v>
      </c>
      <c r="K5" s="26">
        <v>2.2180851063829787</v>
      </c>
      <c r="M5" s="20" t="s">
        <v>82</v>
      </c>
      <c r="N5" t="s">
        <v>85</v>
      </c>
      <c r="P5" t="s">
        <v>97</v>
      </c>
      <c r="V5" t="s">
        <v>33</v>
      </c>
      <c r="W5" s="25">
        <v>21810</v>
      </c>
      <c r="Z5" t="s">
        <v>46</v>
      </c>
      <c r="AA5" s="25">
        <v>15911</v>
      </c>
      <c r="AC5" s="31" t="s">
        <v>27</v>
      </c>
      <c r="AD5" s="32" t="s">
        <v>98</v>
      </c>
      <c r="AE5" s="6"/>
      <c r="AF5" t="s">
        <v>85</v>
      </c>
      <c r="AJ5" s="33"/>
    </row>
    <row r="6" spans="1:36" x14ac:dyDescent="0.3">
      <c r="A6" t="s">
        <v>39</v>
      </c>
      <c r="B6" s="25">
        <v>180440</v>
      </c>
      <c r="D6" t="s">
        <v>38</v>
      </c>
      <c r="E6" s="25">
        <v>253575</v>
      </c>
      <c r="G6" t="s">
        <v>99</v>
      </c>
      <c r="H6" s="25">
        <v>804</v>
      </c>
      <c r="J6" t="s">
        <v>38</v>
      </c>
      <c r="K6" s="26">
        <v>2.1238485158648923</v>
      </c>
      <c r="M6" t="s">
        <v>35</v>
      </c>
      <c r="N6" s="25">
        <v>17478</v>
      </c>
      <c r="P6" t="s">
        <v>100</v>
      </c>
      <c r="V6" t="s">
        <v>35</v>
      </c>
      <c r="W6" s="25">
        <v>17478</v>
      </c>
      <c r="Z6" t="s">
        <v>27</v>
      </c>
      <c r="AA6" s="25">
        <v>15044</v>
      </c>
      <c r="AC6" s="31" t="s">
        <v>53</v>
      </c>
      <c r="AD6" s="32" t="s">
        <v>101</v>
      </c>
      <c r="AF6" s="25">
        <v>1567</v>
      </c>
      <c r="AJ6" s="34"/>
    </row>
    <row r="7" spans="1:36" x14ac:dyDescent="0.3">
      <c r="A7" t="s">
        <v>54</v>
      </c>
      <c r="B7" s="25">
        <v>134320</v>
      </c>
      <c r="D7" t="s">
        <v>46</v>
      </c>
      <c r="E7" s="25">
        <v>251427</v>
      </c>
      <c r="G7" t="s">
        <v>102</v>
      </c>
      <c r="H7" s="25">
        <v>812</v>
      </c>
      <c r="J7" t="s">
        <v>66</v>
      </c>
      <c r="K7" s="26">
        <v>2.0666666666666669</v>
      </c>
      <c r="M7" s="29" t="s">
        <v>34</v>
      </c>
      <c r="N7" s="25">
        <v>1567</v>
      </c>
      <c r="P7" t="s">
        <v>103</v>
      </c>
      <c r="V7" t="s">
        <v>104</v>
      </c>
      <c r="W7" s="25">
        <v>1488</v>
      </c>
      <c r="Z7" t="s">
        <v>38</v>
      </c>
      <c r="AA7" s="25">
        <v>14493</v>
      </c>
      <c r="AC7" s="31" t="s">
        <v>105</v>
      </c>
      <c r="AD7" s="32" t="s">
        <v>106</v>
      </c>
      <c r="AJ7" s="34"/>
    </row>
    <row r="8" spans="1:36" x14ac:dyDescent="0.3">
      <c r="A8" t="s">
        <v>107</v>
      </c>
      <c r="B8" s="25">
        <v>44650</v>
      </c>
      <c r="D8" t="s">
        <v>47</v>
      </c>
      <c r="E8" s="25">
        <v>219678</v>
      </c>
      <c r="G8" t="s">
        <v>108</v>
      </c>
      <c r="H8" s="25">
        <v>831</v>
      </c>
      <c r="J8" t="s">
        <v>70</v>
      </c>
      <c r="K8" s="26">
        <v>2</v>
      </c>
      <c r="M8" s="29" t="s">
        <v>46</v>
      </c>
      <c r="N8" s="25">
        <v>15911</v>
      </c>
      <c r="V8" t="s">
        <v>109</v>
      </c>
      <c r="W8" s="25">
        <v>163768</v>
      </c>
      <c r="Z8" t="s">
        <v>47</v>
      </c>
      <c r="AA8" s="25">
        <v>11655</v>
      </c>
      <c r="AC8" s="31" t="s">
        <v>110</v>
      </c>
      <c r="AD8" s="32" t="s">
        <v>111</v>
      </c>
      <c r="AJ8" s="33"/>
    </row>
    <row r="9" spans="1:36" x14ac:dyDescent="0.3">
      <c r="A9" t="s">
        <v>109</v>
      </c>
      <c r="B9" s="25">
        <v>1017727</v>
      </c>
      <c r="D9" t="s">
        <v>53</v>
      </c>
      <c r="E9" s="25">
        <v>193993</v>
      </c>
      <c r="G9" t="s">
        <v>112</v>
      </c>
      <c r="H9" s="25">
        <v>839</v>
      </c>
      <c r="J9" t="s">
        <v>109</v>
      </c>
      <c r="K9" s="26">
        <v>18.747077490587252</v>
      </c>
      <c r="M9" t="s">
        <v>33</v>
      </c>
      <c r="N9" s="25">
        <v>21810</v>
      </c>
      <c r="V9" s="6" t="s">
        <v>113</v>
      </c>
      <c r="Z9" t="s">
        <v>39</v>
      </c>
      <c r="AA9" s="25">
        <v>10726</v>
      </c>
      <c r="AC9" s="31" t="s">
        <v>114</v>
      </c>
      <c r="AD9" s="32" t="s">
        <v>115</v>
      </c>
      <c r="AJ9" s="33"/>
    </row>
    <row r="10" spans="1:36" x14ac:dyDescent="0.3">
      <c r="A10" s="82" t="s">
        <v>116</v>
      </c>
      <c r="B10" s="82"/>
      <c r="D10" t="s">
        <v>39</v>
      </c>
      <c r="E10" s="25">
        <v>180440</v>
      </c>
      <c r="G10" t="s">
        <v>117</v>
      </c>
      <c r="H10" s="25">
        <v>849</v>
      </c>
      <c r="J10" s="82" t="s">
        <v>118</v>
      </c>
      <c r="K10" s="87"/>
      <c r="M10" s="29" t="s">
        <v>32</v>
      </c>
      <c r="N10" s="25">
        <v>9818</v>
      </c>
      <c r="Z10" t="s">
        <v>32</v>
      </c>
      <c r="AA10" s="25">
        <v>9818</v>
      </c>
      <c r="AC10" s="31" t="s">
        <v>37</v>
      </c>
      <c r="AD10" s="32" t="s">
        <v>119</v>
      </c>
    </row>
    <row r="11" spans="1:36" x14ac:dyDescent="0.3">
      <c r="A11" s="84" t="s">
        <v>120</v>
      </c>
      <c r="B11" s="85"/>
      <c r="D11" t="s">
        <v>32</v>
      </c>
      <c r="E11" s="25">
        <v>172435</v>
      </c>
      <c r="G11" t="s">
        <v>121</v>
      </c>
      <c r="H11" s="25">
        <v>866</v>
      </c>
      <c r="J11" s="83" t="s">
        <v>122</v>
      </c>
      <c r="K11" s="83"/>
      <c r="M11" s="29" t="s">
        <v>43</v>
      </c>
      <c r="N11" s="25">
        <v>2183</v>
      </c>
      <c r="Z11" t="s">
        <v>53</v>
      </c>
      <c r="AA11" s="25">
        <v>8762</v>
      </c>
      <c r="AC11" s="31" t="s">
        <v>28</v>
      </c>
      <c r="AD11" s="32" t="s">
        <v>123</v>
      </c>
    </row>
    <row r="12" spans="1:36" x14ac:dyDescent="0.3">
      <c r="D12" t="s">
        <v>57</v>
      </c>
      <c r="E12" s="25">
        <v>162971</v>
      </c>
      <c r="G12" t="s">
        <v>124</v>
      </c>
      <c r="H12" s="25">
        <v>908</v>
      </c>
      <c r="M12" s="29" t="s">
        <v>52</v>
      </c>
      <c r="N12" s="25">
        <v>2311</v>
      </c>
      <c r="Z12" t="s">
        <v>57</v>
      </c>
      <c r="AA12" s="25">
        <v>8592</v>
      </c>
      <c r="AC12" s="31" t="s">
        <v>39</v>
      </c>
      <c r="AD12" s="32" t="s">
        <v>125</v>
      </c>
    </row>
    <row r="13" spans="1:36" x14ac:dyDescent="0.3">
      <c r="D13" t="s">
        <v>44</v>
      </c>
      <c r="E13" s="25">
        <v>153256</v>
      </c>
      <c r="G13" t="s">
        <v>126</v>
      </c>
      <c r="H13" s="25">
        <v>956</v>
      </c>
      <c r="M13" s="29" t="s">
        <v>61</v>
      </c>
      <c r="N13" s="25">
        <v>7498</v>
      </c>
      <c r="Z13" t="s">
        <v>44</v>
      </c>
      <c r="AA13" s="25">
        <v>7901</v>
      </c>
      <c r="AC13" t="s">
        <v>127</v>
      </c>
      <c r="AD13" s="32" t="s">
        <v>128</v>
      </c>
    </row>
    <row r="14" spans="1:36" x14ac:dyDescent="0.3">
      <c r="D14" t="s">
        <v>109</v>
      </c>
      <c r="E14" s="25">
        <v>2308501</v>
      </c>
      <c r="G14" t="s">
        <v>129</v>
      </c>
      <c r="H14" s="25">
        <v>1029</v>
      </c>
      <c r="M14" t="s">
        <v>104</v>
      </c>
      <c r="N14" s="25">
        <v>1488</v>
      </c>
      <c r="Z14" t="s">
        <v>109</v>
      </c>
      <c r="AA14" s="25">
        <v>126048</v>
      </c>
      <c r="AC14" t="s">
        <v>130</v>
      </c>
      <c r="AD14" s="32" t="s">
        <v>131</v>
      </c>
    </row>
    <row r="15" spans="1:36" x14ac:dyDescent="0.3">
      <c r="D15" s="82" t="s">
        <v>132</v>
      </c>
      <c r="E15" s="82"/>
      <c r="G15" t="s">
        <v>133</v>
      </c>
      <c r="H15" s="25">
        <v>1119</v>
      </c>
      <c r="M15" s="29" t="s">
        <v>160</v>
      </c>
      <c r="N15" s="25">
        <v>55</v>
      </c>
      <c r="Z15" s="86" t="s">
        <v>134</v>
      </c>
      <c r="AA15" s="86"/>
      <c r="AC15" s="30" t="s">
        <v>135</v>
      </c>
      <c r="AD15" s="32" t="s">
        <v>136</v>
      </c>
    </row>
    <row r="16" spans="1:36" x14ac:dyDescent="0.3">
      <c r="D16" s="84" t="s">
        <v>137</v>
      </c>
      <c r="E16" s="85"/>
      <c r="G16" t="s">
        <v>138</v>
      </c>
      <c r="H16" s="25">
        <v>1164</v>
      </c>
      <c r="M16" s="29" t="s">
        <v>31</v>
      </c>
      <c r="N16" s="25">
        <v>882</v>
      </c>
      <c r="AC16" t="s">
        <v>139</v>
      </c>
      <c r="AD16" s="32" t="s">
        <v>140</v>
      </c>
    </row>
    <row r="17" spans="7:30" x14ac:dyDescent="0.3">
      <c r="G17" t="s">
        <v>141</v>
      </c>
      <c r="H17" s="25">
        <v>1209</v>
      </c>
      <c r="M17" s="29" t="s">
        <v>48</v>
      </c>
      <c r="N17" s="25">
        <v>86</v>
      </c>
      <c r="AC17" t="s">
        <v>142</v>
      </c>
      <c r="AD17" s="32" t="s">
        <v>143</v>
      </c>
    </row>
    <row r="18" spans="7:30" x14ac:dyDescent="0.3">
      <c r="G18" t="s">
        <v>144</v>
      </c>
      <c r="H18" s="25">
        <v>1232</v>
      </c>
      <c r="M18" s="29" t="s">
        <v>49</v>
      </c>
      <c r="N18" s="25">
        <v>87</v>
      </c>
      <c r="AC18" s="25" t="s">
        <v>145</v>
      </c>
      <c r="AD18" s="32" t="s">
        <v>146</v>
      </c>
    </row>
    <row r="19" spans="7:30" x14ac:dyDescent="0.3">
      <c r="G19" t="s">
        <v>147</v>
      </c>
      <c r="H19" s="25">
        <v>1277</v>
      </c>
      <c r="L19" s="25"/>
      <c r="M19" s="29" t="s">
        <v>50</v>
      </c>
      <c r="N19" s="25">
        <v>26</v>
      </c>
      <c r="AC19" s="25" t="s">
        <v>148</v>
      </c>
      <c r="AD19" s="32" t="s">
        <v>149</v>
      </c>
    </row>
    <row r="20" spans="7:30" x14ac:dyDescent="0.3">
      <c r="G20" t="s">
        <v>150</v>
      </c>
      <c r="H20" s="25">
        <v>1374</v>
      </c>
      <c r="L20" s="25"/>
      <c r="M20" s="29" t="s">
        <v>51</v>
      </c>
      <c r="N20" s="25">
        <v>73</v>
      </c>
      <c r="AC20" s="25" t="s">
        <v>151</v>
      </c>
      <c r="AD20" s="32" t="s">
        <v>152</v>
      </c>
    </row>
    <row r="21" spans="7:30" x14ac:dyDescent="0.3">
      <c r="G21" t="s">
        <v>17</v>
      </c>
      <c r="H21" s="25">
        <v>1469</v>
      </c>
      <c r="L21" s="25"/>
      <c r="M21" s="29" t="s">
        <v>55</v>
      </c>
      <c r="N21" s="25">
        <v>31</v>
      </c>
      <c r="AC21" s="25" t="s">
        <v>153</v>
      </c>
      <c r="AD21" s="32" t="s">
        <v>154</v>
      </c>
    </row>
    <row r="22" spans="7:30" x14ac:dyDescent="0.3">
      <c r="G22" t="s">
        <v>18</v>
      </c>
      <c r="H22" s="25">
        <v>1567</v>
      </c>
      <c r="L22" s="25"/>
      <c r="M22" s="29" t="s">
        <v>58</v>
      </c>
      <c r="N22" s="25">
        <v>248</v>
      </c>
      <c r="AC22" s="25"/>
    </row>
    <row r="23" spans="7:30" x14ac:dyDescent="0.3">
      <c r="G23" t="s">
        <v>19</v>
      </c>
      <c r="H23" s="25">
        <v>1676</v>
      </c>
      <c r="L23" s="25"/>
      <c r="M23" t="s">
        <v>40</v>
      </c>
      <c r="N23" s="25">
        <v>55512</v>
      </c>
      <c r="AC23" s="25"/>
    </row>
    <row r="24" spans="7:30" x14ac:dyDescent="0.3">
      <c r="G24" t="s">
        <v>20</v>
      </c>
      <c r="H24" s="25">
        <v>1747</v>
      </c>
      <c r="L24" s="25"/>
      <c r="M24" s="29" t="s">
        <v>69</v>
      </c>
      <c r="N24" s="25">
        <v>665</v>
      </c>
      <c r="AC24" s="25"/>
    </row>
    <row r="25" spans="7:30" x14ac:dyDescent="0.3">
      <c r="G25" t="s">
        <v>21</v>
      </c>
      <c r="H25" s="25">
        <v>1848</v>
      </c>
      <c r="L25" s="25"/>
      <c r="M25" s="29" t="s">
        <v>39</v>
      </c>
      <c r="N25" s="25">
        <v>10726</v>
      </c>
      <c r="AC25" s="25"/>
    </row>
    <row r="26" spans="7:30" x14ac:dyDescent="0.3">
      <c r="G26" t="s">
        <v>155</v>
      </c>
      <c r="H26" s="25">
        <v>1956</v>
      </c>
      <c r="L26" s="25"/>
      <c r="M26" s="29" t="s">
        <v>41</v>
      </c>
      <c r="N26" s="25">
        <v>1460</v>
      </c>
      <c r="AC26" s="25"/>
    </row>
    <row r="27" spans="7:30" x14ac:dyDescent="0.3">
      <c r="G27" t="s">
        <v>156</v>
      </c>
      <c r="H27" s="25">
        <v>2124</v>
      </c>
      <c r="L27" s="25"/>
      <c r="M27" s="29" t="s">
        <v>107</v>
      </c>
      <c r="N27" s="25">
        <v>2540</v>
      </c>
      <c r="AC27" s="25"/>
    </row>
    <row r="28" spans="7:30" x14ac:dyDescent="0.3">
      <c r="G28" t="s">
        <v>109</v>
      </c>
      <c r="H28" s="25">
        <v>28451</v>
      </c>
      <c r="L28" s="25"/>
      <c r="M28" s="29" t="s">
        <v>53</v>
      </c>
      <c r="N28" s="25">
        <v>8762</v>
      </c>
      <c r="AC28" s="25"/>
    </row>
    <row r="29" spans="7:30" x14ac:dyDescent="0.3">
      <c r="G29" s="82" t="s">
        <v>157</v>
      </c>
      <c r="H29" s="87"/>
      <c r="L29" s="25"/>
      <c r="M29" s="29" t="s">
        <v>54</v>
      </c>
      <c r="N29" s="25">
        <v>6488</v>
      </c>
      <c r="AC29" s="25"/>
    </row>
    <row r="30" spans="7:30" x14ac:dyDescent="0.3">
      <c r="G30" s="84" t="s">
        <v>158</v>
      </c>
      <c r="H30" s="85"/>
      <c r="L30" s="25"/>
      <c r="M30" s="29" t="s">
        <v>59</v>
      </c>
      <c r="N30" s="25">
        <v>23146</v>
      </c>
      <c r="AC30" s="25"/>
    </row>
    <row r="31" spans="7:30" x14ac:dyDescent="0.3">
      <c r="L31" s="25"/>
      <c r="M31" s="29" t="s">
        <v>60</v>
      </c>
      <c r="N31" s="25">
        <v>1725</v>
      </c>
      <c r="AC31" s="25"/>
    </row>
    <row r="32" spans="7:30" x14ac:dyDescent="0.3">
      <c r="L32" s="25"/>
      <c r="M32" t="s">
        <v>28</v>
      </c>
      <c r="N32" s="25">
        <v>41275</v>
      </c>
      <c r="AC32" s="25"/>
    </row>
    <row r="33" spans="2:29" x14ac:dyDescent="0.3">
      <c r="L33" s="25"/>
      <c r="M33" s="29" t="s">
        <v>27</v>
      </c>
      <c r="N33" s="25">
        <v>15044</v>
      </c>
      <c r="AC33" s="25"/>
    </row>
    <row r="34" spans="2:29" x14ac:dyDescent="0.3">
      <c r="L34" s="25"/>
      <c r="M34" s="29" t="s">
        <v>44</v>
      </c>
      <c r="N34" s="25">
        <v>7901</v>
      </c>
    </row>
    <row r="35" spans="2:29" x14ac:dyDescent="0.3">
      <c r="L35" s="25"/>
      <c r="M35" s="29" t="s">
        <v>45</v>
      </c>
      <c r="N35" s="25">
        <v>2548</v>
      </c>
    </row>
    <row r="36" spans="2:29" x14ac:dyDescent="0.3">
      <c r="L36" s="25"/>
      <c r="M36" s="29" t="s">
        <v>56</v>
      </c>
      <c r="N36" s="25">
        <v>7190</v>
      </c>
    </row>
    <row r="37" spans="2:29" x14ac:dyDescent="0.3">
      <c r="B37" s="25"/>
      <c r="L37" s="25"/>
      <c r="M37" s="29" t="s">
        <v>57</v>
      </c>
      <c r="N37" s="25">
        <v>8592</v>
      </c>
    </row>
    <row r="38" spans="2:29" x14ac:dyDescent="0.3">
      <c r="B38" s="25"/>
      <c r="L38" s="25"/>
      <c r="M38" t="s">
        <v>37</v>
      </c>
      <c r="N38" s="25">
        <v>26205</v>
      </c>
    </row>
    <row r="39" spans="2:29" x14ac:dyDescent="0.3">
      <c r="L39" s="25"/>
      <c r="M39" s="29" t="s">
        <v>36</v>
      </c>
      <c r="N39" s="25">
        <v>57</v>
      </c>
    </row>
    <row r="40" spans="2:29" x14ac:dyDescent="0.3">
      <c r="L40" s="25"/>
      <c r="M40" s="29" t="s">
        <v>38</v>
      </c>
      <c r="N40" s="25">
        <v>14493</v>
      </c>
    </row>
    <row r="41" spans="2:29" x14ac:dyDescent="0.3">
      <c r="M41" s="29" t="s">
        <v>47</v>
      </c>
      <c r="N41" s="25">
        <v>11655</v>
      </c>
    </row>
    <row r="42" spans="2:29" x14ac:dyDescent="0.3">
      <c r="M42" t="s">
        <v>109</v>
      </c>
      <c r="N42" s="25">
        <v>163768</v>
      </c>
    </row>
    <row r="90" spans="18:23" x14ac:dyDescent="0.3">
      <c r="R90" s="25"/>
      <c r="S90" s="25"/>
      <c r="T90" s="25"/>
      <c r="U90" s="25"/>
      <c r="V90" s="25"/>
      <c r="W90" s="25"/>
    </row>
    <row r="96" spans="18:23" x14ac:dyDescent="0.3">
      <c r="R96" s="25"/>
      <c r="S96" s="25"/>
      <c r="T96" s="25"/>
      <c r="U96" s="25"/>
      <c r="V96" s="25"/>
      <c r="W96" s="25"/>
    </row>
    <row r="102" spans="2:4" x14ac:dyDescent="0.3">
      <c r="B102" s="25"/>
      <c r="D102" s="25"/>
    </row>
    <row r="103" spans="2:4" x14ac:dyDescent="0.3">
      <c r="B103" s="25"/>
      <c r="D103" s="25"/>
    </row>
    <row r="104" spans="2:4" x14ac:dyDescent="0.3">
      <c r="B104" s="25"/>
      <c r="D104" s="25"/>
    </row>
    <row r="105" spans="2:4" x14ac:dyDescent="0.3">
      <c r="B105" s="25"/>
      <c r="D105" s="25"/>
    </row>
    <row r="106" spans="2:4" x14ac:dyDescent="0.3">
      <c r="B106" s="25"/>
      <c r="D106" s="25"/>
    </row>
    <row r="107" spans="2:4" x14ac:dyDescent="0.3">
      <c r="B107" s="25"/>
      <c r="D107" s="25"/>
    </row>
    <row r="108" spans="2:4" x14ac:dyDescent="0.3">
      <c r="B108" s="25"/>
      <c r="D108" s="25"/>
    </row>
    <row r="109" spans="2:4" x14ac:dyDescent="0.3">
      <c r="B109" s="25"/>
      <c r="D109" s="25"/>
    </row>
    <row r="110" spans="2:4" x14ac:dyDescent="0.3">
      <c r="B110" s="25"/>
      <c r="D110" s="25"/>
    </row>
    <row r="111" spans="2:4" x14ac:dyDescent="0.3">
      <c r="B111" s="25"/>
      <c r="D111" s="25"/>
    </row>
    <row r="112" spans="2:4" x14ac:dyDescent="0.3">
      <c r="B112" s="25"/>
      <c r="D112" s="25"/>
    </row>
    <row r="113" spans="2:4" x14ac:dyDescent="0.3">
      <c r="B113" s="25"/>
      <c r="D113" s="25"/>
    </row>
    <row r="114" spans="2:4" x14ac:dyDescent="0.3">
      <c r="B114" s="25"/>
      <c r="D114" s="25"/>
    </row>
    <row r="115" spans="2:4" x14ac:dyDescent="0.3">
      <c r="B115" s="25"/>
      <c r="D115" s="25"/>
    </row>
    <row r="116" spans="2:4" x14ac:dyDescent="0.3">
      <c r="B116" s="25"/>
    </row>
    <row r="117" spans="2:4" x14ac:dyDescent="0.3">
      <c r="B117" s="25"/>
    </row>
    <row r="118" spans="2:4" x14ac:dyDescent="0.3">
      <c r="B118" s="25"/>
    </row>
  </sheetData>
  <mergeCells count="9">
    <mergeCell ref="A10:B10"/>
    <mergeCell ref="J11:K11"/>
    <mergeCell ref="A11:B11"/>
    <mergeCell ref="G30:H30"/>
    <mergeCell ref="Z15:AA15"/>
    <mergeCell ref="D15:E15"/>
    <mergeCell ref="G29:H29"/>
    <mergeCell ref="J10:K10"/>
    <mergeCell ref="D16:E16"/>
  </mergeCells>
  <pageMargins left="0.7" right="0.7" top="0.75" bottom="0.75" header="0.3" footer="0.3"/>
  <pageSetup orientation="portrait" r:id="rId10"/>
  <drawing r:id="rId11"/>
  <legacyDrawing r:id="rId12"/>
  <mc:AlternateContent xmlns:mc="http://schemas.openxmlformats.org/markup-compatibility/2006">
    <mc:Choice Requires="x14">
      <controls>
        <mc:AlternateContent xmlns:mc="http://schemas.openxmlformats.org/markup-compatibility/2006">
          <mc:Choice Requires="x14">
            <control shapeId="1039" r:id="rId13" name="Check Box 15">
              <controlPr defaultSize="0" autoFill="0" autoLine="0" autoPict="0">
                <anchor moveWithCells="1">
                  <from>
                    <xdr:col>15</xdr:col>
                    <xdr:colOff>1022350</xdr:colOff>
                    <xdr:row>0</xdr:row>
                    <xdr:rowOff>0</xdr:rowOff>
                  </from>
                  <to>
                    <xdr:col>16</xdr:col>
                    <xdr:colOff>190500</xdr:colOff>
                    <xdr:row>1</xdr:row>
                    <xdr:rowOff>0</xdr:rowOff>
                  </to>
                </anchor>
              </controlPr>
            </control>
          </mc:Choice>
        </mc:AlternateContent>
        <mc:AlternateContent xmlns:mc="http://schemas.openxmlformats.org/markup-compatibility/2006">
          <mc:Choice Requires="x14">
            <control shapeId="1046" r:id="rId14" name="Check Box 22">
              <controlPr defaultSize="0" autoFill="0" autoLine="0" autoPict="0">
                <anchor moveWithCells="1">
                  <from>
                    <xdr:col>15</xdr:col>
                    <xdr:colOff>1022350</xdr:colOff>
                    <xdr:row>0</xdr:row>
                    <xdr:rowOff>158750</xdr:rowOff>
                  </from>
                  <to>
                    <xdr:col>16</xdr:col>
                    <xdr:colOff>184150</xdr:colOff>
                    <xdr:row>1</xdr:row>
                    <xdr:rowOff>158750</xdr:rowOff>
                  </to>
                </anchor>
              </controlPr>
            </control>
          </mc:Choice>
        </mc:AlternateContent>
        <mc:AlternateContent xmlns:mc="http://schemas.openxmlformats.org/markup-compatibility/2006">
          <mc:Choice Requires="x14">
            <control shapeId="1047" r:id="rId15" name="Check Box 23">
              <controlPr defaultSize="0" autoFill="0" autoLine="0" autoPict="0">
                <anchor moveWithCells="1">
                  <from>
                    <xdr:col>16</xdr:col>
                    <xdr:colOff>0</xdr:colOff>
                    <xdr:row>2</xdr:row>
                    <xdr:rowOff>12700</xdr:rowOff>
                  </from>
                  <to>
                    <xdr:col>16</xdr:col>
                    <xdr:colOff>190500</xdr:colOff>
                    <xdr:row>3</xdr:row>
                    <xdr:rowOff>12700</xdr:rowOff>
                  </to>
                </anchor>
              </controlPr>
            </control>
          </mc:Choice>
        </mc:AlternateContent>
        <mc:AlternateContent xmlns:mc="http://schemas.openxmlformats.org/markup-compatibility/2006">
          <mc:Choice Requires="x14">
            <control shapeId="1048" r:id="rId16" name="Check Box 24">
              <controlPr defaultSize="0" autoFill="0" autoLine="0" autoPict="0">
                <anchor moveWithCells="1">
                  <from>
                    <xdr:col>16</xdr:col>
                    <xdr:colOff>0</xdr:colOff>
                    <xdr:row>3</xdr:row>
                    <xdr:rowOff>12700</xdr:rowOff>
                  </from>
                  <to>
                    <xdr:col>16</xdr:col>
                    <xdr:colOff>190500</xdr:colOff>
                    <xdr:row>4</xdr:row>
                    <xdr:rowOff>0</xdr:rowOff>
                  </to>
                </anchor>
              </controlPr>
            </control>
          </mc:Choice>
        </mc:AlternateContent>
        <mc:AlternateContent xmlns:mc="http://schemas.openxmlformats.org/markup-compatibility/2006">
          <mc:Choice Requires="x14">
            <control shapeId="1049" r:id="rId17" name="Check Box 25">
              <controlPr defaultSize="0" autoFill="0" autoLine="0" autoPict="0">
                <anchor moveWithCells="1">
                  <from>
                    <xdr:col>15</xdr:col>
                    <xdr:colOff>1022350</xdr:colOff>
                    <xdr:row>4</xdr:row>
                    <xdr:rowOff>6350</xdr:rowOff>
                  </from>
                  <to>
                    <xdr:col>16</xdr:col>
                    <xdr:colOff>190500</xdr:colOff>
                    <xdr:row>5</xdr:row>
                    <xdr:rowOff>6350</xdr:rowOff>
                  </to>
                </anchor>
              </controlPr>
            </control>
          </mc:Choice>
        </mc:AlternateContent>
        <mc:AlternateContent xmlns:mc="http://schemas.openxmlformats.org/markup-compatibility/2006">
          <mc:Choice Requires="x14">
            <control shapeId="1050" r:id="rId18" name="Check Box 26">
              <controlPr defaultSize="0" autoFill="0" autoLine="0" autoPict="0">
                <anchor moveWithCells="1">
                  <from>
                    <xdr:col>16</xdr:col>
                    <xdr:colOff>0</xdr:colOff>
                    <xdr:row>4</xdr:row>
                    <xdr:rowOff>158750</xdr:rowOff>
                  </from>
                  <to>
                    <xdr:col>16</xdr:col>
                    <xdr:colOff>190500</xdr:colOff>
                    <xdr:row>5</xdr:row>
                    <xdr:rowOff>158750</xdr:rowOff>
                  </to>
                </anchor>
              </controlPr>
            </control>
          </mc:Choice>
        </mc:AlternateContent>
        <mc:AlternateContent xmlns:mc="http://schemas.openxmlformats.org/markup-compatibility/2006">
          <mc:Choice Requires="x14">
            <control shapeId="1051" r:id="rId19" name="Check Box 27">
              <controlPr defaultSize="0" autoFill="0" autoLine="0" autoPict="0">
                <anchor moveWithCells="1">
                  <from>
                    <xdr:col>15</xdr:col>
                    <xdr:colOff>1022350</xdr:colOff>
                    <xdr:row>5</xdr:row>
                    <xdr:rowOff>158750</xdr:rowOff>
                  </from>
                  <to>
                    <xdr:col>16</xdr:col>
                    <xdr:colOff>190500</xdr:colOff>
                    <xdr:row>6</xdr:row>
                    <xdr:rowOff>158750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2"/>
  <sheetViews>
    <sheetView workbookViewId="0">
      <selection activeCell="A2" sqref="A2"/>
    </sheetView>
  </sheetViews>
  <sheetFormatPr defaultRowHeight="13" x14ac:dyDescent="0.3"/>
  <cols>
    <col min="1" max="1" width="14.796875" bestFit="1" customWidth="1"/>
    <col min="2" max="2" width="11.69921875" bestFit="1" customWidth="1"/>
    <col min="7" max="7" width="12" customWidth="1"/>
  </cols>
  <sheetData>
    <row r="1" spans="1:8" x14ac:dyDescent="0.3">
      <c r="A1" s="6" t="s">
        <v>80</v>
      </c>
      <c r="B1" s="6" t="s">
        <v>25</v>
      </c>
      <c r="C1" s="6" t="s">
        <v>159</v>
      </c>
      <c r="F1" s="6"/>
      <c r="G1" s="6"/>
      <c r="H1" s="6"/>
    </row>
    <row r="2" spans="1:8" x14ac:dyDescent="0.3">
      <c r="A2" t="s">
        <v>1</v>
      </c>
      <c r="B2" s="6" t="s">
        <v>35</v>
      </c>
      <c r="C2">
        <v>27534</v>
      </c>
      <c r="G2" s="6"/>
    </row>
    <row r="3" spans="1:8" x14ac:dyDescent="0.3">
      <c r="A3" t="s">
        <v>2</v>
      </c>
      <c r="B3" s="6" t="s">
        <v>35</v>
      </c>
      <c r="C3">
        <v>27478</v>
      </c>
      <c r="G3" s="6"/>
    </row>
    <row r="4" spans="1:8" x14ac:dyDescent="0.3">
      <c r="A4" t="s">
        <v>3</v>
      </c>
      <c r="B4" s="6" t="s">
        <v>35</v>
      </c>
      <c r="C4">
        <v>27012</v>
      </c>
      <c r="G4" s="6"/>
    </row>
    <row r="5" spans="1:8" x14ac:dyDescent="0.3">
      <c r="A5" t="s">
        <v>4</v>
      </c>
      <c r="B5" s="6" t="s">
        <v>35</v>
      </c>
      <c r="C5">
        <v>27925</v>
      </c>
      <c r="G5" s="6"/>
    </row>
    <row r="6" spans="1:8" x14ac:dyDescent="0.3">
      <c r="A6" t="s">
        <v>5</v>
      </c>
      <c r="B6" s="6" t="s">
        <v>35</v>
      </c>
      <c r="C6">
        <v>29126</v>
      </c>
      <c r="G6" s="6"/>
    </row>
    <row r="7" spans="1:8" x14ac:dyDescent="0.3">
      <c r="A7" t="s">
        <v>6</v>
      </c>
      <c r="B7" s="6" t="s">
        <v>35</v>
      </c>
      <c r="C7">
        <v>30156</v>
      </c>
      <c r="G7" s="6"/>
    </row>
    <row r="8" spans="1:8" x14ac:dyDescent="0.3">
      <c r="A8" t="s">
        <v>7</v>
      </c>
      <c r="B8" s="6" t="s">
        <v>35</v>
      </c>
      <c r="C8">
        <v>31314</v>
      </c>
      <c r="G8" s="6"/>
    </row>
    <row r="9" spans="1:8" x14ac:dyDescent="0.3">
      <c r="A9" t="s">
        <v>8</v>
      </c>
      <c r="B9" s="6" t="s">
        <v>35</v>
      </c>
      <c r="C9">
        <v>32989</v>
      </c>
      <c r="G9" s="6"/>
    </row>
    <row r="10" spans="1:8" x14ac:dyDescent="0.3">
      <c r="A10" t="s">
        <v>9</v>
      </c>
      <c r="B10" s="6" t="s">
        <v>35</v>
      </c>
      <c r="C10">
        <v>34389</v>
      </c>
      <c r="G10" s="6"/>
    </row>
    <row r="11" spans="1:8" x14ac:dyDescent="0.3">
      <c r="A11" t="s">
        <v>10</v>
      </c>
      <c r="B11" s="6" t="s">
        <v>35</v>
      </c>
      <c r="C11">
        <v>36216</v>
      </c>
      <c r="G11" s="6"/>
    </row>
    <row r="12" spans="1:8" x14ac:dyDescent="0.3">
      <c r="A12" t="s">
        <v>11</v>
      </c>
      <c r="B12" s="6" t="s">
        <v>35</v>
      </c>
      <c r="C12">
        <v>38448</v>
      </c>
      <c r="G12" s="6"/>
    </row>
    <row r="13" spans="1:8" x14ac:dyDescent="0.3">
      <c r="A13" t="s">
        <v>12</v>
      </c>
      <c r="B13" s="6" t="s">
        <v>35</v>
      </c>
      <c r="C13">
        <v>40376</v>
      </c>
      <c r="G13" s="6"/>
    </row>
    <row r="14" spans="1:8" x14ac:dyDescent="0.3">
      <c r="A14" t="s">
        <v>13</v>
      </c>
      <c r="B14" s="6" t="s">
        <v>35</v>
      </c>
      <c r="C14">
        <v>42548</v>
      </c>
      <c r="G14" s="6"/>
    </row>
    <row r="15" spans="1:8" x14ac:dyDescent="0.3">
      <c r="A15" t="s">
        <v>14</v>
      </c>
      <c r="B15" s="6" t="s">
        <v>35</v>
      </c>
      <c r="C15">
        <v>45359</v>
      </c>
      <c r="G15" s="6"/>
    </row>
    <row r="16" spans="1:8" x14ac:dyDescent="0.3">
      <c r="A16" t="s">
        <v>15</v>
      </c>
      <c r="B16" s="6" t="s">
        <v>35</v>
      </c>
      <c r="C16">
        <v>48484</v>
      </c>
      <c r="G16" s="6"/>
    </row>
    <row r="17" spans="1:7" x14ac:dyDescent="0.3">
      <c r="A17" t="s">
        <v>16</v>
      </c>
      <c r="B17" s="6" t="s">
        <v>35</v>
      </c>
      <c r="C17">
        <v>51310</v>
      </c>
      <c r="G17" s="6"/>
    </row>
    <row r="18" spans="1:7" x14ac:dyDescent="0.3">
      <c r="A18" t="s">
        <v>17</v>
      </c>
      <c r="B18" s="6" t="s">
        <v>35</v>
      </c>
      <c r="C18">
        <v>55196</v>
      </c>
      <c r="G18" s="6"/>
    </row>
    <row r="19" spans="1:7" x14ac:dyDescent="0.3">
      <c r="A19" t="s">
        <v>18</v>
      </c>
      <c r="B19" s="6" t="s">
        <v>35</v>
      </c>
      <c r="C19">
        <v>59386</v>
      </c>
      <c r="G19" s="6"/>
    </row>
    <row r="20" spans="1:7" x14ac:dyDescent="0.3">
      <c r="A20" t="s">
        <v>19</v>
      </c>
      <c r="B20" s="6" t="s">
        <v>35</v>
      </c>
      <c r="C20">
        <v>63806</v>
      </c>
      <c r="G20" s="6"/>
    </row>
    <row r="21" spans="1:7" x14ac:dyDescent="0.3">
      <c r="A21" t="s">
        <v>20</v>
      </c>
      <c r="B21" s="6" t="s">
        <v>35</v>
      </c>
      <c r="C21">
        <v>67018</v>
      </c>
      <c r="G21" s="6"/>
    </row>
    <row r="22" spans="1:7" x14ac:dyDescent="0.3">
      <c r="A22" t="s">
        <v>21</v>
      </c>
      <c r="B22" s="6" t="s">
        <v>35</v>
      </c>
      <c r="C22">
        <v>70566</v>
      </c>
      <c r="G22" s="6"/>
    </row>
    <row r="23" spans="1:7" x14ac:dyDescent="0.3">
      <c r="A23" t="s">
        <v>22</v>
      </c>
      <c r="B23" s="6" t="s">
        <v>35</v>
      </c>
      <c r="C23">
        <v>74006</v>
      </c>
      <c r="G23" s="6"/>
    </row>
    <row r="24" spans="1:7" x14ac:dyDescent="0.3">
      <c r="A24" t="s">
        <v>23</v>
      </c>
      <c r="B24" s="6" t="s">
        <v>35</v>
      </c>
      <c r="C24">
        <v>77738</v>
      </c>
      <c r="G24" s="6"/>
    </row>
    <row r="25" spans="1:7" x14ac:dyDescent="0.3">
      <c r="A25" t="s">
        <v>1</v>
      </c>
      <c r="B25" s="6" t="s">
        <v>33</v>
      </c>
      <c r="C25">
        <v>77460</v>
      </c>
      <c r="G25" s="6"/>
    </row>
    <row r="26" spans="1:7" x14ac:dyDescent="0.3">
      <c r="A26" t="s">
        <v>2</v>
      </c>
      <c r="B26" s="6" t="s">
        <v>33</v>
      </c>
      <c r="C26">
        <v>78411</v>
      </c>
      <c r="G26" s="6"/>
    </row>
    <row r="27" spans="1:7" x14ac:dyDescent="0.3">
      <c r="A27" t="s">
        <v>3</v>
      </c>
      <c r="B27" s="6" t="s">
        <v>33</v>
      </c>
      <c r="C27">
        <v>79932</v>
      </c>
      <c r="G27" s="6"/>
    </row>
    <row r="28" spans="1:7" x14ac:dyDescent="0.3">
      <c r="A28" t="s">
        <v>4</v>
      </c>
      <c r="B28" s="6" t="s">
        <v>33</v>
      </c>
      <c r="C28">
        <v>84026</v>
      </c>
      <c r="G28" s="6"/>
    </row>
    <row r="29" spans="1:7" x14ac:dyDescent="0.3">
      <c r="A29" t="s">
        <v>5</v>
      </c>
      <c r="B29" s="6" t="s">
        <v>33</v>
      </c>
      <c r="C29">
        <v>88220</v>
      </c>
      <c r="G29" s="6"/>
    </row>
    <row r="30" spans="1:7" x14ac:dyDescent="0.3">
      <c r="A30" t="s">
        <v>6</v>
      </c>
      <c r="B30" s="6" t="s">
        <v>33</v>
      </c>
      <c r="C30">
        <v>93432</v>
      </c>
      <c r="G30" s="6"/>
    </row>
    <row r="31" spans="1:7" x14ac:dyDescent="0.3">
      <c r="A31" t="s">
        <v>7</v>
      </c>
      <c r="B31" s="6" t="s">
        <v>33</v>
      </c>
      <c r="C31">
        <v>97650</v>
      </c>
      <c r="G31" s="6"/>
    </row>
    <row r="32" spans="1:7" x14ac:dyDescent="0.3">
      <c r="A32" t="s">
        <v>8</v>
      </c>
      <c r="B32" s="6" t="s">
        <v>33</v>
      </c>
      <c r="C32">
        <v>101251</v>
      </c>
      <c r="G32" s="6"/>
    </row>
    <row r="33" spans="1:7" x14ac:dyDescent="0.3">
      <c r="A33" t="s">
        <v>9</v>
      </c>
      <c r="B33" s="6" t="s">
        <v>33</v>
      </c>
      <c r="C33">
        <v>104618</v>
      </c>
      <c r="G33" s="6"/>
    </row>
    <row r="34" spans="1:7" x14ac:dyDescent="0.3">
      <c r="A34" t="s">
        <v>10</v>
      </c>
      <c r="B34" s="6" t="s">
        <v>33</v>
      </c>
      <c r="C34">
        <v>109212</v>
      </c>
      <c r="G34" s="6"/>
    </row>
    <row r="35" spans="1:7" x14ac:dyDescent="0.3">
      <c r="A35" t="s">
        <v>11</v>
      </c>
      <c r="B35" s="6" t="s">
        <v>33</v>
      </c>
      <c r="C35">
        <v>114364</v>
      </c>
      <c r="G35" s="6"/>
    </row>
    <row r="36" spans="1:7" x14ac:dyDescent="0.3">
      <c r="A36" t="s">
        <v>12</v>
      </c>
      <c r="B36" s="6" t="s">
        <v>33</v>
      </c>
      <c r="C36">
        <v>118435</v>
      </c>
      <c r="G36" s="6"/>
    </row>
    <row r="37" spans="1:7" x14ac:dyDescent="0.3">
      <c r="A37" t="s">
        <v>13</v>
      </c>
      <c r="B37" s="6" t="s">
        <v>33</v>
      </c>
      <c r="C37">
        <v>123414</v>
      </c>
      <c r="G37" s="6"/>
    </row>
    <row r="38" spans="1:7" x14ac:dyDescent="0.3">
      <c r="A38" t="s">
        <v>14</v>
      </c>
      <c r="B38" s="6" t="s">
        <v>33</v>
      </c>
      <c r="C38">
        <v>135379</v>
      </c>
      <c r="G38" s="6"/>
    </row>
    <row r="39" spans="1:7" x14ac:dyDescent="0.3">
      <c r="A39" t="s">
        <v>15</v>
      </c>
      <c r="B39" s="6" t="s">
        <v>33</v>
      </c>
      <c r="C39">
        <v>143377</v>
      </c>
      <c r="G39" s="6"/>
    </row>
    <row r="40" spans="1:7" x14ac:dyDescent="0.3">
      <c r="A40" t="s">
        <v>16</v>
      </c>
      <c r="B40" s="6" t="s">
        <v>33</v>
      </c>
      <c r="C40">
        <v>151920</v>
      </c>
      <c r="G40" s="6"/>
    </row>
    <row r="41" spans="1:7" x14ac:dyDescent="0.3">
      <c r="A41" t="s">
        <v>17</v>
      </c>
      <c r="B41" s="6" t="s">
        <v>33</v>
      </c>
      <c r="C41">
        <v>161299</v>
      </c>
      <c r="G41" s="6"/>
    </row>
    <row r="42" spans="1:7" x14ac:dyDescent="0.3">
      <c r="A42" t="s">
        <v>18</v>
      </c>
      <c r="B42" s="6" t="s">
        <v>33</v>
      </c>
      <c r="C42">
        <v>171651</v>
      </c>
      <c r="G42" s="6"/>
    </row>
    <row r="43" spans="1:7" x14ac:dyDescent="0.3">
      <c r="A43" t="s">
        <v>19</v>
      </c>
      <c r="B43" s="6" t="s">
        <v>33</v>
      </c>
      <c r="C43">
        <v>182075</v>
      </c>
      <c r="G43" s="6"/>
    </row>
    <row r="44" spans="1:7" x14ac:dyDescent="0.3">
      <c r="A44" t="s">
        <v>20</v>
      </c>
      <c r="B44" s="6" t="s">
        <v>33</v>
      </c>
      <c r="C44">
        <v>194110</v>
      </c>
      <c r="G44" s="6"/>
    </row>
    <row r="45" spans="1:7" x14ac:dyDescent="0.3">
      <c r="A45" t="s">
        <v>21</v>
      </c>
      <c r="B45" s="6" t="s">
        <v>33</v>
      </c>
      <c r="C45">
        <v>205483</v>
      </c>
      <c r="G45" s="6"/>
    </row>
    <row r="46" spans="1:7" x14ac:dyDescent="0.3">
      <c r="A46" t="s">
        <v>22</v>
      </c>
      <c r="B46" s="6" t="s">
        <v>33</v>
      </c>
      <c r="C46">
        <v>213434</v>
      </c>
      <c r="G46" s="6"/>
    </row>
    <row r="47" spans="1:7" x14ac:dyDescent="0.3">
      <c r="A47" t="s">
        <v>23</v>
      </c>
      <c r="B47" s="6" t="s">
        <v>33</v>
      </c>
      <c r="C47">
        <v>223547</v>
      </c>
      <c r="G47" s="6"/>
    </row>
    <row r="48" spans="1:7" x14ac:dyDescent="0.3">
      <c r="A48" t="s">
        <v>1</v>
      </c>
      <c r="B48" s="6" t="s">
        <v>63</v>
      </c>
      <c r="C48">
        <v>371</v>
      </c>
      <c r="G48" s="6"/>
    </row>
    <row r="49" spans="1:7" x14ac:dyDescent="0.3">
      <c r="A49" t="s">
        <v>2</v>
      </c>
      <c r="B49" s="6" t="s">
        <v>63</v>
      </c>
      <c r="C49">
        <v>376</v>
      </c>
      <c r="G49" s="6"/>
    </row>
    <row r="50" spans="1:7" x14ac:dyDescent="0.3">
      <c r="A50" t="s">
        <v>3</v>
      </c>
      <c r="B50" s="6" t="s">
        <v>63</v>
      </c>
      <c r="C50">
        <v>378</v>
      </c>
      <c r="G50" s="6"/>
    </row>
    <row r="51" spans="1:7" x14ac:dyDescent="0.3">
      <c r="A51" t="s">
        <v>4</v>
      </c>
      <c r="B51" s="6" t="s">
        <v>63</v>
      </c>
      <c r="C51">
        <v>376</v>
      </c>
      <c r="G51" s="6"/>
    </row>
    <row r="52" spans="1:7" x14ac:dyDescent="0.3">
      <c r="A52" t="s">
        <v>5</v>
      </c>
      <c r="B52" s="6" t="s">
        <v>63</v>
      </c>
      <c r="C52">
        <v>384</v>
      </c>
      <c r="G52" s="6"/>
    </row>
    <row r="53" spans="1:7" x14ac:dyDescent="0.3">
      <c r="A53" t="s">
        <v>6</v>
      </c>
      <c r="B53" s="6" t="s">
        <v>63</v>
      </c>
      <c r="C53">
        <v>365</v>
      </c>
      <c r="G53" s="6"/>
    </row>
    <row r="54" spans="1:7" x14ac:dyDescent="0.3">
      <c r="A54" t="s">
        <v>7</v>
      </c>
      <c r="B54" s="6" t="s">
        <v>63</v>
      </c>
      <c r="C54">
        <v>529</v>
      </c>
      <c r="G54" s="6"/>
    </row>
    <row r="55" spans="1:7" x14ac:dyDescent="0.3">
      <c r="A55" t="s">
        <v>8</v>
      </c>
      <c r="B55" s="6" t="s">
        <v>63</v>
      </c>
      <c r="C55">
        <v>536</v>
      </c>
      <c r="G55" s="6"/>
    </row>
    <row r="56" spans="1:7" x14ac:dyDescent="0.3">
      <c r="A56" t="s">
        <v>9</v>
      </c>
      <c r="B56" s="6" t="s">
        <v>63</v>
      </c>
      <c r="C56">
        <v>549</v>
      </c>
      <c r="G56" s="6"/>
    </row>
    <row r="57" spans="1:7" x14ac:dyDescent="0.3">
      <c r="A57" t="s">
        <v>10</v>
      </c>
      <c r="B57" s="6" t="s">
        <v>63</v>
      </c>
      <c r="C57">
        <v>564</v>
      </c>
      <c r="G57" s="6"/>
    </row>
    <row r="58" spans="1:7" x14ac:dyDescent="0.3">
      <c r="A58" t="s">
        <v>11</v>
      </c>
      <c r="B58" s="6" t="s">
        <v>63</v>
      </c>
      <c r="C58">
        <v>587</v>
      </c>
      <c r="G58" s="6"/>
    </row>
    <row r="59" spans="1:7" x14ac:dyDescent="0.3">
      <c r="A59" t="s">
        <v>12</v>
      </c>
      <c r="B59" s="6" t="s">
        <v>63</v>
      </c>
      <c r="C59">
        <v>366</v>
      </c>
      <c r="G59" s="6"/>
    </row>
    <row r="60" spans="1:7" x14ac:dyDescent="0.3">
      <c r="A60" t="s">
        <v>13</v>
      </c>
      <c r="B60" s="6" t="s">
        <v>63</v>
      </c>
      <c r="C60">
        <v>360</v>
      </c>
      <c r="G60" s="6"/>
    </row>
    <row r="61" spans="1:7" x14ac:dyDescent="0.3">
      <c r="A61" t="s">
        <v>14</v>
      </c>
      <c r="B61" s="6" t="s">
        <v>63</v>
      </c>
      <c r="C61">
        <v>354</v>
      </c>
      <c r="G61" s="6"/>
    </row>
    <row r="62" spans="1:7" x14ac:dyDescent="0.3">
      <c r="A62" t="s">
        <v>15</v>
      </c>
      <c r="B62" s="6" t="s">
        <v>63</v>
      </c>
      <c r="C62">
        <v>351</v>
      </c>
      <c r="G62" s="6"/>
    </row>
    <row r="63" spans="1:7" x14ac:dyDescent="0.3">
      <c r="A63" t="s">
        <v>16</v>
      </c>
      <c r="B63" s="6" t="s">
        <v>63</v>
      </c>
      <c r="C63">
        <v>342</v>
      </c>
      <c r="G63" s="6"/>
    </row>
    <row r="64" spans="1:7" x14ac:dyDescent="0.3">
      <c r="A64" t="s">
        <v>17</v>
      </c>
      <c r="B64" s="6" t="s">
        <v>63</v>
      </c>
      <c r="C64">
        <v>349</v>
      </c>
      <c r="G64" s="6"/>
    </row>
    <row r="65" spans="1:7" x14ac:dyDescent="0.3">
      <c r="A65" t="s">
        <v>18</v>
      </c>
      <c r="B65" s="6" t="s">
        <v>63</v>
      </c>
      <c r="C65">
        <v>368</v>
      </c>
      <c r="G65" s="6"/>
    </row>
    <row r="66" spans="1:7" x14ac:dyDescent="0.3">
      <c r="A66" t="s">
        <v>19</v>
      </c>
      <c r="B66" s="6" t="s">
        <v>63</v>
      </c>
      <c r="C66">
        <v>373</v>
      </c>
      <c r="G66" s="6"/>
    </row>
    <row r="67" spans="1:7" x14ac:dyDescent="0.3">
      <c r="A67" t="s">
        <v>20</v>
      </c>
      <c r="B67" s="6" t="s">
        <v>63</v>
      </c>
      <c r="C67">
        <v>537</v>
      </c>
      <c r="G67" s="6"/>
    </row>
    <row r="68" spans="1:7" x14ac:dyDescent="0.3">
      <c r="A68" t="s">
        <v>21</v>
      </c>
      <c r="B68" s="6" t="s">
        <v>63</v>
      </c>
      <c r="C68">
        <v>555.41999999999996</v>
      </c>
      <c r="G68" s="6"/>
    </row>
    <row r="69" spans="1:7" x14ac:dyDescent="0.3">
      <c r="A69" t="s">
        <v>22</v>
      </c>
      <c r="B69" s="6" t="s">
        <v>63</v>
      </c>
      <c r="C69">
        <v>594.41</v>
      </c>
      <c r="G69" s="6"/>
    </row>
    <row r="70" spans="1:7" x14ac:dyDescent="0.3">
      <c r="A70" t="s">
        <v>23</v>
      </c>
      <c r="B70" s="6" t="s">
        <v>63</v>
      </c>
      <c r="C70">
        <v>537.69999999999993</v>
      </c>
      <c r="G70" s="6"/>
    </row>
    <row r="71" spans="1:7" x14ac:dyDescent="0.3">
      <c r="A71" t="s">
        <v>1</v>
      </c>
      <c r="B71" t="s">
        <v>40</v>
      </c>
      <c r="C71">
        <v>68463</v>
      </c>
    </row>
    <row r="72" spans="1:7" x14ac:dyDescent="0.3">
      <c r="A72" t="s">
        <v>2</v>
      </c>
      <c r="B72" t="s">
        <v>40</v>
      </c>
      <c r="C72">
        <v>68977</v>
      </c>
    </row>
    <row r="73" spans="1:7" x14ac:dyDescent="0.3">
      <c r="A73" t="s">
        <v>3</v>
      </c>
      <c r="B73" t="s">
        <v>40</v>
      </c>
      <c r="C73">
        <v>69848</v>
      </c>
    </row>
    <row r="74" spans="1:7" x14ac:dyDescent="0.3">
      <c r="A74" t="s">
        <v>4</v>
      </c>
      <c r="B74" t="s">
        <v>40</v>
      </c>
      <c r="C74">
        <v>72025</v>
      </c>
    </row>
    <row r="75" spans="1:7" x14ac:dyDescent="0.3">
      <c r="A75" t="s">
        <v>5</v>
      </c>
      <c r="B75" t="s">
        <v>40</v>
      </c>
      <c r="C75">
        <v>75687</v>
      </c>
    </row>
    <row r="76" spans="1:7" x14ac:dyDescent="0.3">
      <c r="A76" t="s">
        <v>6</v>
      </c>
      <c r="B76" t="s">
        <v>40</v>
      </c>
      <c r="C76">
        <v>79905</v>
      </c>
    </row>
    <row r="77" spans="1:7" x14ac:dyDescent="0.3">
      <c r="A77" t="s">
        <v>7</v>
      </c>
      <c r="B77" t="s">
        <v>40</v>
      </c>
      <c r="C77">
        <v>83559</v>
      </c>
    </row>
    <row r="78" spans="1:7" x14ac:dyDescent="0.3">
      <c r="A78" t="s">
        <v>8</v>
      </c>
      <c r="B78" t="s">
        <v>40</v>
      </c>
      <c r="C78">
        <v>86498</v>
      </c>
    </row>
    <row r="79" spans="1:7" x14ac:dyDescent="0.3">
      <c r="A79" t="s">
        <v>9</v>
      </c>
      <c r="B79" t="s">
        <v>40</v>
      </c>
      <c r="C79">
        <v>89182</v>
      </c>
    </row>
    <row r="80" spans="1:7" x14ac:dyDescent="0.3">
      <c r="A80" t="s">
        <v>10</v>
      </c>
      <c r="B80" t="s">
        <v>40</v>
      </c>
      <c r="C80">
        <v>92847</v>
      </c>
    </row>
    <row r="81" spans="1:3" x14ac:dyDescent="0.3">
      <c r="A81" t="s">
        <v>11</v>
      </c>
      <c r="B81" t="s">
        <v>40</v>
      </c>
      <c r="C81">
        <v>97310</v>
      </c>
    </row>
    <row r="82" spans="1:3" x14ac:dyDescent="0.3">
      <c r="A82" t="s">
        <v>12</v>
      </c>
      <c r="B82" t="s">
        <v>40</v>
      </c>
      <c r="C82">
        <v>100414</v>
      </c>
    </row>
    <row r="83" spans="1:3" x14ac:dyDescent="0.3">
      <c r="A83" t="s">
        <v>13</v>
      </c>
      <c r="B83" t="s">
        <v>40</v>
      </c>
      <c r="C83">
        <v>104182</v>
      </c>
    </row>
    <row r="84" spans="1:3" x14ac:dyDescent="0.3">
      <c r="A84" t="s">
        <v>14</v>
      </c>
      <c r="B84" t="s">
        <v>40</v>
      </c>
      <c r="C84">
        <v>114964</v>
      </c>
    </row>
    <row r="85" spans="1:3" x14ac:dyDescent="0.3">
      <c r="A85" t="s">
        <v>15</v>
      </c>
      <c r="B85" t="s">
        <v>40</v>
      </c>
      <c r="C85">
        <v>121844</v>
      </c>
    </row>
    <row r="86" spans="1:3" x14ac:dyDescent="0.3">
      <c r="A86" t="s">
        <v>16</v>
      </c>
      <c r="B86" t="s">
        <v>40</v>
      </c>
      <c r="C86">
        <v>129339</v>
      </c>
    </row>
    <row r="87" spans="1:3" x14ac:dyDescent="0.3">
      <c r="A87" t="s">
        <v>17</v>
      </c>
      <c r="B87" t="s">
        <v>40</v>
      </c>
      <c r="C87">
        <v>137310</v>
      </c>
    </row>
    <row r="88" spans="1:3" x14ac:dyDescent="0.3">
      <c r="A88" t="s">
        <v>18</v>
      </c>
      <c r="B88" t="s">
        <v>40</v>
      </c>
      <c r="C88">
        <v>146080</v>
      </c>
    </row>
    <row r="89" spans="1:3" x14ac:dyDescent="0.3">
      <c r="A89" t="s">
        <v>19</v>
      </c>
      <c r="B89" t="s">
        <v>40</v>
      </c>
      <c r="C89">
        <v>154935</v>
      </c>
    </row>
    <row r="90" spans="1:3" x14ac:dyDescent="0.3">
      <c r="A90" t="s">
        <v>20</v>
      </c>
      <c r="B90" t="s">
        <v>40</v>
      </c>
      <c r="C90">
        <v>165481</v>
      </c>
    </row>
    <row r="91" spans="1:3" x14ac:dyDescent="0.3">
      <c r="A91" t="s">
        <v>21</v>
      </c>
      <c r="B91" t="s">
        <v>40</v>
      </c>
      <c r="C91">
        <v>175152</v>
      </c>
    </row>
    <row r="92" spans="1:3" x14ac:dyDescent="0.3">
      <c r="A92" t="s">
        <v>22</v>
      </c>
      <c r="B92" t="s">
        <v>40</v>
      </c>
      <c r="C92">
        <v>182224</v>
      </c>
    </row>
    <row r="93" spans="1:3" x14ac:dyDescent="0.3">
      <c r="A93" t="s">
        <v>23</v>
      </c>
      <c r="B93" t="s">
        <v>40</v>
      </c>
      <c r="C93">
        <v>190731.31</v>
      </c>
    </row>
    <row r="94" spans="1:3" x14ac:dyDescent="0.3">
      <c r="A94" t="s">
        <v>1</v>
      </c>
      <c r="B94" t="s">
        <v>30</v>
      </c>
      <c r="C94">
        <v>58955</v>
      </c>
    </row>
    <row r="95" spans="1:3" x14ac:dyDescent="0.3">
      <c r="A95" t="s">
        <v>2</v>
      </c>
      <c r="B95" t="s">
        <v>30</v>
      </c>
      <c r="C95">
        <v>59195</v>
      </c>
    </row>
    <row r="96" spans="1:3" x14ac:dyDescent="0.3">
      <c r="A96" t="s">
        <v>3</v>
      </c>
      <c r="B96" t="s">
        <v>30</v>
      </c>
      <c r="C96">
        <v>59888</v>
      </c>
    </row>
    <row r="97" spans="1:3" x14ac:dyDescent="0.3">
      <c r="A97" t="s">
        <v>4</v>
      </c>
      <c r="B97" t="s">
        <v>30</v>
      </c>
      <c r="C97">
        <v>63316</v>
      </c>
    </row>
    <row r="98" spans="1:3" x14ac:dyDescent="0.3">
      <c r="A98" t="s">
        <v>5</v>
      </c>
      <c r="B98" t="s">
        <v>30</v>
      </c>
      <c r="C98">
        <v>66562</v>
      </c>
    </row>
    <row r="99" spans="1:3" x14ac:dyDescent="0.3">
      <c r="A99" t="s">
        <v>6</v>
      </c>
      <c r="B99" t="s">
        <v>30</v>
      </c>
      <c r="C99">
        <v>70941</v>
      </c>
    </row>
    <row r="100" spans="1:3" x14ac:dyDescent="0.3">
      <c r="A100" t="s">
        <v>7</v>
      </c>
      <c r="B100" t="s">
        <v>30</v>
      </c>
      <c r="C100">
        <v>74265</v>
      </c>
    </row>
    <row r="101" spans="1:3" x14ac:dyDescent="0.3">
      <c r="A101" t="s">
        <v>8</v>
      </c>
      <c r="B101" t="s">
        <v>30</v>
      </c>
      <c r="C101">
        <v>77085</v>
      </c>
    </row>
    <row r="102" spans="1:3" x14ac:dyDescent="0.3">
      <c r="A102" t="s">
        <v>9</v>
      </c>
      <c r="B102" t="s">
        <v>30</v>
      </c>
      <c r="C102">
        <v>79520</v>
      </c>
    </row>
    <row r="103" spans="1:3" x14ac:dyDescent="0.3">
      <c r="A103" t="s">
        <v>10</v>
      </c>
      <c r="B103" t="s">
        <v>30</v>
      </c>
      <c r="C103">
        <v>83145</v>
      </c>
    </row>
    <row r="104" spans="1:3" x14ac:dyDescent="0.3">
      <c r="A104" t="s">
        <v>11</v>
      </c>
      <c r="B104" t="s">
        <v>30</v>
      </c>
      <c r="C104">
        <v>86537</v>
      </c>
    </row>
    <row r="105" spans="1:3" x14ac:dyDescent="0.3">
      <c r="A105" t="s">
        <v>12</v>
      </c>
      <c r="B105" t="s">
        <v>30</v>
      </c>
      <c r="C105">
        <v>89591</v>
      </c>
    </row>
    <row r="106" spans="1:3" x14ac:dyDescent="0.3">
      <c r="A106" t="s">
        <v>13</v>
      </c>
      <c r="B106" t="s">
        <v>30</v>
      </c>
      <c r="C106">
        <v>93622</v>
      </c>
    </row>
    <row r="107" spans="1:3" x14ac:dyDescent="0.3">
      <c r="A107" t="s">
        <v>14</v>
      </c>
      <c r="B107" t="s">
        <v>30</v>
      </c>
      <c r="C107">
        <v>104530</v>
      </c>
    </row>
    <row r="108" spans="1:3" x14ac:dyDescent="0.3">
      <c r="A108" t="s">
        <v>15</v>
      </c>
      <c r="B108" t="s">
        <v>30</v>
      </c>
      <c r="C108">
        <v>111189</v>
      </c>
    </row>
    <row r="109" spans="1:3" x14ac:dyDescent="0.3">
      <c r="A109" t="s">
        <v>16</v>
      </c>
      <c r="B109" t="s">
        <v>30</v>
      </c>
      <c r="C109">
        <v>118189</v>
      </c>
    </row>
    <row r="110" spans="1:3" x14ac:dyDescent="0.3">
      <c r="A110" t="s">
        <v>17</v>
      </c>
      <c r="B110" t="s">
        <v>30</v>
      </c>
      <c r="C110">
        <v>126042</v>
      </c>
    </row>
    <row r="111" spans="1:3" x14ac:dyDescent="0.3">
      <c r="A111" t="s">
        <v>18</v>
      </c>
      <c r="B111" t="s">
        <v>30</v>
      </c>
      <c r="C111">
        <v>134670</v>
      </c>
    </row>
    <row r="112" spans="1:3" x14ac:dyDescent="0.3">
      <c r="A112" t="s">
        <v>19</v>
      </c>
      <c r="B112" t="s">
        <v>30</v>
      </c>
      <c r="C112">
        <v>143478</v>
      </c>
    </row>
    <row r="113" spans="1:3" x14ac:dyDescent="0.3">
      <c r="A113" t="s">
        <v>20</v>
      </c>
      <c r="B113" t="s">
        <v>30</v>
      </c>
      <c r="C113">
        <v>155787</v>
      </c>
    </row>
    <row r="114" spans="1:3" x14ac:dyDescent="0.3">
      <c r="A114" t="s">
        <v>21</v>
      </c>
      <c r="B114" t="s">
        <v>30</v>
      </c>
      <c r="C114">
        <v>164367</v>
      </c>
    </row>
    <row r="115" spans="1:3" x14ac:dyDescent="0.3">
      <c r="A115" t="s">
        <v>22</v>
      </c>
      <c r="B115" t="s">
        <v>30</v>
      </c>
      <c r="C115">
        <v>169416</v>
      </c>
    </row>
    <row r="116" spans="1:3" x14ac:dyDescent="0.3">
      <c r="A116" t="s">
        <v>23</v>
      </c>
      <c r="B116" t="s">
        <v>30</v>
      </c>
      <c r="C116">
        <v>176331</v>
      </c>
    </row>
    <row r="117" spans="1:3" x14ac:dyDescent="0.3">
      <c r="A117" t="s">
        <v>1</v>
      </c>
      <c r="B117" t="s">
        <v>28</v>
      </c>
      <c r="C117">
        <v>84406</v>
      </c>
    </row>
    <row r="118" spans="1:3" x14ac:dyDescent="0.3">
      <c r="A118" t="s">
        <v>2</v>
      </c>
      <c r="B118" t="s">
        <v>28</v>
      </c>
      <c r="C118">
        <v>86159</v>
      </c>
    </row>
    <row r="119" spans="1:3" x14ac:dyDescent="0.3">
      <c r="A119" t="s">
        <v>3</v>
      </c>
      <c r="B119" t="s">
        <v>28</v>
      </c>
      <c r="C119">
        <v>88082</v>
      </c>
    </row>
    <row r="120" spans="1:3" x14ac:dyDescent="0.3">
      <c r="A120" t="s">
        <v>4</v>
      </c>
      <c r="B120" t="s">
        <v>28</v>
      </c>
      <c r="C120">
        <v>92487</v>
      </c>
    </row>
    <row r="121" spans="1:3" x14ac:dyDescent="0.3">
      <c r="A121" t="s">
        <v>5</v>
      </c>
      <c r="B121" t="s">
        <v>28</v>
      </c>
      <c r="C121">
        <v>97066</v>
      </c>
    </row>
    <row r="122" spans="1:3" x14ac:dyDescent="0.3">
      <c r="A122" t="s">
        <v>6</v>
      </c>
      <c r="B122" t="s">
        <v>28</v>
      </c>
      <c r="C122">
        <v>102579</v>
      </c>
    </row>
    <row r="123" spans="1:3" x14ac:dyDescent="0.3">
      <c r="A123" t="s">
        <v>7</v>
      </c>
      <c r="B123" t="s">
        <v>28</v>
      </c>
      <c r="C123">
        <v>107934</v>
      </c>
    </row>
    <row r="124" spans="1:3" x14ac:dyDescent="0.3">
      <c r="A124" t="s">
        <v>8</v>
      </c>
      <c r="B124" t="s">
        <v>28</v>
      </c>
      <c r="C124">
        <v>112180</v>
      </c>
    </row>
    <row r="125" spans="1:3" x14ac:dyDescent="0.3">
      <c r="A125" t="s">
        <v>9</v>
      </c>
      <c r="B125" t="s">
        <v>28</v>
      </c>
      <c r="C125">
        <v>116424</v>
      </c>
    </row>
    <row r="126" spans="1:3" x14ac:dyDescent="0.3">
      <c r="A126" t="s">
        <v>10</v>
      </c>
      <c r="B126" t="s">
        <v>28</v>
      </c>
      <c r="C126">
        <v>121844</v>
      </c>
    </row>
    <row r="127" spans="1:3" x14ac:dyDescent="0.3">
      <c r="A127" t="s">
        <v>11</v>
      </c>
      <c r="B127" t="s">
        <v>28</v>
      </c>
      <c r="C127">
        <v>127902</v>
      </c>
    </row>
    <row r="128" spans="1:3" x14ac:dyDescent="0.3">
      <c r="A128" t="s">
        <v>12</v>
      </c>
      <c r="B128" t="s">
        <v>28</v>
      </c>
      <c r="C128">
        <v>132433</v>
      </c>
    </row>
    <row r="129" spans="1:3" x14ac:dyDescent="0.3">
      <c r="A129" t="s">
        <v>13</v>
      </c>
      <c r="B129" t="s">
        <v>28</v>
      </c>
      <c r="C129">
        <v>137686</v>
      </c>
    </row>
    <row r="130" spans="1:3" x14ac:dyDescent="0.3">
      <c r="A130" t="s">
        <v>14</v>
      </c>
      <c r="B130" t="s">
        <v>28</v>
      </c>
      <c r="C130">
        <v>146312</v>
      </c>
    </row>
    <row r="131" spans="1:3" x14ac:dyDescent="0.3">
      <c r="A131" t="s">
        <v>15</v>
      </c>
      <c r="B131" t="s">
        <v>28</v>
      </c>
      <c r="C131">
        <v>155486</v>
      </c>
    </row>
    <row r="132" spans="1:3" x14ac:dyDescent="0.3">
      <c r="A132" t="s">
        <v>16</v>
      </c>
      <c r="B132" t="s">
        <v>28</v>
      </c>
      <c r="C132">
        <v>165402</v>
      </c>
    </row>
    <row r="133" spans="1:3" x14ac:dyDescent="0.3">
      <c r="A133" t="s">
        <v>17</v>
      </c>
      <c r="B133" t="s">
        <v>28</v>
      </c>
      <c r="C133">
        <v>176348</v>
      </c>
    </row>
    <row r="134" spans="1:3" x14ac:dyDescent="0.3">
      <c r="A134" t="s">
        <v>18</v>
      </c>
      <c r="B134" t="s">
        <v>28</v>
      </c>
      <c r="C134">
        <v>188049</v>
      </c>
    </row>
    <row r="135" spans="1:3" x14ac:dyDescent="0.3">
      <c r="A135" t="s">
        <v>19</v>
      </c>
      <c r="B135" t="s">
        <v>28</v>
      </c>
      <c r="C135">
        <v>198742</v>
      </c>
    </row>
    <row r="136" spans="1:3" x14ac:dyDescent="0.3">
      <c r="A136" t="s">
        <v>20</v>
      </c>
      <c r="B136" t="s">
        <v>28</v>
      </c>
      <c r="C136">
        <v>210409</v>
      </c>
    </row>
    <row r="137" spans="1:3" x14ac:dyDescent="0.3">
      <c r="A137" t="s">
        <v>21</v>
      </c>
      <c r="B137" t="s">
        <v>28</v>
      </c>
      <c r="C137">
        <v>222519.42</v>
      </c>
    </row>
    <row r="138" spans="1:3" x14ac:dyDescent="0.3">
      <c r="A138" t="s">
        <v>22</v>
      </c>
      <c r="B138" t="s">
        <v>28</v>
      </c>
      <c r="C138">
        <v>230578.41</v>
      </c>
    </row>
    <row r="139" spans="1:3" x14ac:dyDescent="0.3">
      <c r="A139" t="s">
        <v>23</v>
      </c>
      <c r="B139" t="s">
        <v>28</v>
      </c>
      <c r="C139">
        <v>239240.7</v>
      </c>
    </row>
    <row r="140" spans="1:3" x14ac:dyDescent="0.3">
      <c r="A140" t="s">
        <v>1</v>
      </c>
      <c r="B140" t="s">
        <v>37</v>
      </c>
      <c r="C140">
        <v>74076</v>
      </c>
    </row>
    <row r="141" spans="1:3" x14ac:dyDescent="0.3">
      <c r="A141" t="s">
        <v>2</v>
      </c>
      <c r="B141" t="s">
        <v>37</v>
      </c>
      <c r="C141">
        <v>74816</v>
      </c>
    </row>
    <row r="142" spans="1:3" x14ac:dyDescent="0.3">
      <c r="A142" t="s">
        <v>3</v>
      </c>
      <c r="B142" t="s">
        <v>37</v>
      </c>
      <c r="C142">
        <v>76018</v>
      </c>
    </row>
    <row r="143" spans="1:3" x14ac:dyDescent="0.3">
      <c r="A143" t="s">
        <v>4</v>
      </c>
      <c r="B143" t="s">
        <v>37</v>
      </c>
      <c r="C143">
        <v>78524</v>
      </c>
    </row>
    <row r="144" spans="1:3" x14ac:dyDescent="0.3">
      <c r="A144" t="s">
        <v>5</v>
      </c>
      <c r="B144" t="s">
        <v>37</v>
      </c>
      <c r="C144">
        <v>82393</v>
      </c>
    </row>
    <row r="145" spans="1:3" x14ac:dyDescent="0.3">
      <c r="A145" t="s">
        <v>6</v>
      </c>
      <c r="B145" t="s">
        <v>37</v>
      </c>
      <c r="C145">
        <v>87207</v>
      </c>
    </row>
    <row r="146" spans="1:3" x14ac:dyDescent="0.3">
      <c r="A146" t="s">
        <v>7</v>
      </c>
      <c r="B146" t="s">
        <v>37</v>
      </c>
      <c r="C146">
        <v>91083</v>
      </c>
    </row>
    <row r="147" spans="1:3" x14ac:dyDescent="0.3">
      <c r="A147" t="s">
        <v>8</v>
      </c>
      <c r="B147" t="s">
        <v>37</v>
      </c>
      <c r="C147">
        <v>94493</v>
      </c>
    </row>
    <row r="148" spans="1:3" x14ac:dyDescent="0.3">
      <c r="A148" t="s">
        <v>9</v>
      </c>
      <c r="B148" t="s">
        <v>37</v>
      </c>
      <c r="C148">
        <v>97619</v>
      </c>
    </row>
    <row r="149" spans="1:3" x14ac:dyDescent="0.3">
      <c r="A149" t="s">
        <v>10</v>
      </c>
      <c r="B149" t="s">
        <v>37</v>
      </c>
      <c r="C149">
        <v>101748</v>
      </c>
    </row>
    <row r="150" spans="1:3" x14ac:dyDescent="0.3">
      <c r="A150" t="s">
        <v>11</v>
      </c>
      <c r="B150" t="s">
        <v>37</v>
      </c>
      <c r="C150">
        <v>106685</v>
      </c>
    </row>
    <row r="151" spans="1:3" x14ac:dyDescent="0.3">
      <c r="A151" t="s">
        <v>12</v>
      </c>
      <c r="B151" t="s">
        <v>37</v>
      </c>
      <c r="C151">
        <v>110503</v>
      </c>
    </row>
    <row r="152" spans="1:3" x14ac:dyDescent="0.3">
      <c r="A152" t="s">
        <v>13</v>
      </c>
      <c r="B152" t="s">
        <v>37</v>
      </c>
      <c r="C152">
        <v>115078</v>
      </c>
    </row>
    <row r="153" spans="1:3" x14ac:dyDescent="0.3">
      <c r="A153" t="s">
        <v>14</v>
      </c>
      <c r="B153" t="s">
        <v>37</v>
      </c>
      <c r="C153">
        <v>126442</v>
      </c>
    </row>
    <row r="154" spans="1:3" x14ac:dyDescent="0.3">
      <c r="A154" t="s">
        <v>15</v>
      </c>
      <c r="B154" t="s">
        <v>37</v>
      </c>
      <c r="C154">
        <v>133879</v>
      </c>
    </row>
    <row r="155" spans="1:3" x14ac:dyDescent="0.3">
      <c r="A155" t="s">
        <v>16</v>
      </c>
      <c r="B155" t="s">
        <v>37</v>
      </c>
      <c r="C155">
        <v>141895</v>
      </c>
    </row>
    <row r="156" spans="1:3" x14ac:dyDescent="0.3">
      <c r="A156" t="s">
        <v>17</v>
      </c>
      <c r="B156" t="s">
        <v>37</v>
      </c>
      <c r="C156">
        <v>150655</v>
      </c>
    </row>
    <row r="157" spans="1:3" x14ac:dyDescent="0.3">
      <c r="A157" t="s">
        <v>18</v>
      </c>
      <c r="B157" t="s">
        <v>37</v>
      </c>
      <c r="C157">
        <v>160330</v>
      </c>
    </row>
    <row r="158" spans="1:3" x14ac:dyDescent="0.3">
      <c r="A158" t="s">
        <v>19</v>
      </c>
      <c r="B158" t="s">
        <v>37</v>
      </c>
      <c r="C158">
        <v>169988</v>
      </c>
    </row>
    <row r="159" spans="1:3" x14ac:dyDescent="0.3">
      <c r="A159" t="s">
        <v>20</v>
      </c>
      <c r="B159" t="s">
        <v>37</v>
      </c>
      <c r="C159">
        <v>180944</v>
      </c>
    </row>
    <row r="160" spans="1:3" x14ac:dyDescent="0.3">
      <c r="A160" t="s">
        <v>21</v>
      </c>
      <c r="B160" t="s">
        <v>37</v>
      </c>
      <c r="C160">
        <v>191487</v>
      </c>
    </row>
    <row r="161" spans="1:3" x14ac:dyDescent="0.3">
      <c r="A161" t="s">
        <v>22</v>
      </c>
      <c r="B161" t="s">
        <v>37</v>
      </c>
      <c r="C161">
        <v>199081</v>
      </c>
    </row>
    <row r="162" spans="1:3" x14ac:dyDescent="0.3">
      <c r="A162" t="s">
        <v>23</v>
      </c>
      <c r="B162" t="s">
        <v>37</v>
      </c>
      <c r="C162">
        <v>208619.31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9"/>
  <sheetViews>
    <sheetView zoomScale="120" zoomScaleNormal="120" workbookViewId="0">
      <selection activeCell="C6" sqref="A1:D689"/>
    </sheetView>
  </sheetViews>
  <sheetFormatPr defaultRowHeight="13" x14ac:dyDescent="0.3"/>
  <cols>
    <col min="1" max="1" width="9" customWidth="1"/>
    <col min="2" max="2" width="15.296875" bestFit="1" customWidth="1"/>
    <col min="3" max="3" width="12.796875" bestFit="1" customWidth="1"/>
    <col min="4" max="4" width="7.69921875" customWidth="1"/>
    <col min="7" max="7" width="13.296875" bestFit="1" customWidth="1"/>
  </cols>
  <sheetData>
    <row r="1" spans="1:4" x14ac:dyDescent="0.3">
      <c r="A1" t="s">
        <v>80</v>
      </c>
      <c r="B1" t="s">
        <v>0</v>
      </c>
      <c r="C1" t="s">
        <v>25</v>
      </c>
      <c r="D1" t="s">
        <v>159</v>
      </c>
    </row>
    <row r="2" spans="1:4" x14ac:dyDescent="0.3">
      <c r="A2" t="s">
        <v>96</v>
      </c>
      <c r="B2" t="s">
        <v>27</v>
      </c>
      <c r="C2" t="s">
        <v>28</v>
      </c>
      <c r="D2">
        <v>5814</v>
      </c>
    </row>
    <row r="3" spans="1:4" x14ac:dyDescent="0.3">
      <c r="A3" t="s">
        <v>99</v>
      </c>
      <c r="B3" t="s">
        <v>27</v>
      </c>
      <c r="C3" t="s">
        <v>28</v>
      </c>
      <c r="D3">
        <v>6584</v>
      </c>
    </row>
    <row r="4" spans="1:4" x14ac:dyDescent="0.3">
      <c r="A4" t="s">
        <v>102</v>
      </c>
      <c r="B4" t="s">
        <v>27</v>
      </c>
      <c r="C4" t="s">
        <v>28</v>
      </c>
      <c r="D4">
        <v>6959</v>
      </c>
    </row>
    <row r="5" spans="1:4" x14ac:dyDescent="0.3">
      <c r="A5" t="s">
        <v>108</v>
      </c>
      <c r="B5" t="s">
        <v>27</v>
      </c>
      <c r="C5" t="s">
        <v>28</v>
      </c>
      <c r="D5">
        <v>7257</v>
      </c>
    </row>
    <row r="6" spans="1:4" x14ac:dyDescent="0.3">
      <c r="A6" t="s">
        <v>112</v>
      </c>
      <c r="B6" t="s">
        <v>27</v>
      </c>
      <c r="C6" t="s">
        <v>28</v>
      </c>
      <c r="D6">
        <v>7624</v>
      </c>
    </row>
    <row r="7" spans="1:4" x14ac:dyDescent="0.3">
      <c r="A7" t="s">
        <v>117</v>
      </c>
      <c r="B7" t="s">
        <v>27</v>
      </c>
      <c r="C7" t="s">
        <v>28</v>
      </c>
      <c r="D7">
        <v>7938</v>
      </c>
    </row>
    <row r="8" spans="1:4" x14ac:dyDescent="0.3">
      <c r="A8" t="s">
        <v>121</v>
      </c>
      <c r="B8" t="s">
        <v>27</v>
      </c>
      <c r="C8" t="s">
        <v>28</v>
      </c>
      <c r="D8">
        <v>8925</v>
      </c>
    </row>
    <row r="9" spans="1:4" x14ac:dyDescent="0.3">
      <c r="A9" t="s">
        <v>124</v>
      </c>
      <c r="B9" t="s">
        <v>27</v>
      </c>
      <c r="C9" t="s">
        <v>28</v>
      </c>
      <c r="D9">
        <v>9570</v>
      </c>
    </row>
    <row r="10" spans="1:4" x14ac:dyDescent="0.3">
      <c r="A10" t="s">
        <v>126</v>
      </c>
      <c r="B10" t="s">
        <v>27</v>
      </c>
      <c r="C10" t="s">
        <v>28</v>
      </c>
      <c r="D10">
        <v>10429</v>
      </c>
    </row>
    <row r="11" spans="1:4" x14ac:dyDescent="0.3">
      <c r="A11" t="s">
        <v>129</v>
      </c>
      <c r="B11" t="s">
        <v>27</v>
      </c>
      <c r="C11" t="s">
        <v>28</v>
      </c>
      <c r="D11">
        <v>11203</v>
      </c>
    </row>
    <row r="12" spans="1:4" x14ac:dyDescent="0.3">
      <c r="A12" t="s">
        <v>133</v>
      </c>
      <c r="B12" t="s">
        <v>27</v>
      </c>
      <c r="C12" t="s">
        <v>28</v>
      </c>
      <c r="D12">
        <v>12088</v>
      </c>
    </row>
    <row r="13" spans="1:4" x14ac:dyDescent="0.3">
      <c r="A13" t="s">
        <v>138</v>
      </c>
      <c r="B13" t="s">
        <v>27</v>
      </c>
      <c r="C13" t="s">
        <v>28</v>
      </c>
      <c r="D13">
        <v>12762</v>
      </c>
    </row>
    <row r="14" spans="1:4" x14ac:dyDescent="0.3">
      <c r="A14" t="s">
        <v>141</v>
      </c>
      <c r="B14" t="s">
        <v>27</v>
      </c>
      <c r="C14" t="s">
        <v>28</v>
      </c>
      <c r="D14">
        <v>13007</v>
      </c>
    </row>
    <row r="15" spans="1:4" x14ac:dyDescent="0.3">
      <c r="A15" t="s">
        <v>144</v>
      </c>
      <c r="B15" t="s">
        <v>27</v>
      </c>
      <c r="C15" t="s">
        <v>28</v>
      </c>
      <c r="D15">
        <v>9656</v>
      </c>
    </row>
    <row r="16" spans="1:4" x14ac:dyDescent="0.3">
      <c r="A16" t="s">
        <v>147</v>
      </c>
      <c r="B16" t="s">
        <v>27</v>
      </c>
      <c r="C16" t="s">
        <v>28</v>
      </c>
      <c r="D16">
        <v>10817</v>
      </c>
    </row>
    <row r="17" spans="1:4" x14ac:dyDescent="0.3">
      <c r="A17" t="s">
        <v>150</v>
      </c>
      <c r="B17" t="s">
        <v>27</v>
      </c>
      <c r="C17" t="s">
        <v>28</v>
      </c>
      <c r="D17">
        <v>12178</v>
      </c>
    </row>
    <row r="18" spans="1:4" x14ac:dyDescent="0.3">
      <c r="A18" t="s">
        <v>17</v>
      </c>
      <c r="B18" t="s">
        <v>27</v>
      </c>
      <c r="C18" t="s">
        <v>28</v>
      </c>
      <c r="D18">
        <v>13725</v>
      </c>
    </row>
    <row r="19" spans="1:4" x14ac:dyDescent="0.3">
      <c r="A19" t="s">
        <v>18</v>
      </c>
      <c r="B19" t="s">
        <v>27</v>
      </c>
      <c r="C19" t="s">
        <v>28</v>
      </c>
      <c r="D19">
        <v>15044</v>
      </c>
    </row>
    <row r="20" spans="1:4" x14ac:dyDescent="0.3">
      <c r="A20" t="s">
        <v>19</v>
      </c>
      <c r="B20" t="s">
        <v>27</v>
      </c>
      <c r="C20" t="s">
        <v>28</v>
      </c>
      <c r="D20">
        <v>15263</v>
      </c>
    </row>
    <row r="21" spans="1:4" x14ac:dyDescent="0.3">
      <c r="A21" t="s">
        <v>20</v>
      </c>
      <c r="B21" t="s">
        <v>27</v>
      </c>
      <c r="C21" t="s">
        <v>28</v>
      </c>
      <c r="D21">
        <v>14714</v>
      </c>
    </row>
    <row r="22" spans="1:4" x14ac:dyDescent="0.3">
      <c r="A22" t="s">
        <v>21</v>
      </c>
      <c r="B22" t="s">
        <v>27</v>
      </c>
      <c r="C22" t="s">
        <v>28</v>
      </c>
      <c r="D22">
        <v>15403</v>
      </c>
    </row>
    <row r="23" spans="1:4" x14ac:dyDescent="0.3">
      <c r="A23" t="s">
        <v>155</v>
      </c>
      <c r="B23" t="s">
        <v>27</v>
      </c>
      <c r="C23" t="s">
        <v>28</v>
      </c>
      <c r="D23">
        <v>15448</v>
      </c>
    </row>
    <row r="24" spans="1:4" x14ac:dyDescent="0.3">
      <c r="A24" t="s">
        <v>156</v>
      </c>
      <c r="B24" t="s">
        <v>27</v>
      </c>
      <c r="C24" t="s">
        <v>28</v>
      </c>
      <c r="D24">
        <v>13994</v>
      </c>
    </row>
    <row r="25" spans="1:4" x14ac:dyDescent="0.3">
      <c r="A25" t="s">
        <v>96</v>
      </c>
      <c r="B25" t="s">
        <v>160</v>
      </c>
      <c r="C25" t="s">
        <v>104</v>
      </c>
      <c r="D25">
        <v>42</v>
      </c>
    </row>
    <row r="26" spans="1:4" x14ac:dyDescent="0.3">
      <c r="A26" t="s">
        <v>99</v>
      </c>
      <c r="B26" t="s">
        <v>160</v>
      </c>
      <c r="C26" t="s">
        <v>104</v>
      </c>
      <c r="D26">
        <v>46</v>
      </c>
    </row>
    <row r="27" spans="1:4" x14ac:dyDescent="0.3">
      <c r="A27" t="s">
        <v>102</v>
      </c>
      <c r="B27" t="s">
        <v>160</v>
      </c>
      <c r="C27" t="s">
        <v>104</v>
      </c>
      <c r="D27">
        <v>46</v>
      </c>
    </row>
    <row r="28" spans="1:4" x14ac:dyDescent="0.3">
      <c r="A28" t="s">
        <v>108</v>
      </c>
      <c r="B28" t="s">
        <v>160</v>
      </c>
      <c r="C28" t="s">
        <v>104</v>
      </c>
      <c r="D28">
        <v>48</v>
      </c>
    </row>
    <row r="29" spans="1:4" x14ac:dyDescent="0.3">
      <c r="A29" t="s">
        <v>112</v>
      </c>
      <c r="B29" t="s">
        <v>160</v>
      </c>
      <c r="C29" t="s">
        <v>104</v>
      </c>
      <c r="D29">
        <v>48</v>
      </c>
    </row>
    <row r="30" spans="1:4" x14ac:dyDescent="0.3">
      <c r="A30" t="s">
        <v>117</v>
      </c>
      <c r="B30" t="s">
        <v>160</v>
      </c>
      <c r="C30" t="s">
        <v>104</v>
      </c>
      <c r="D30">
        <v>49</v>
      </c>
    </row>
    <row r="31" spans="1:4" x14ac:dyDescent="0.3">
      <c r="A31" t="s">
        <v>121</v>
      </c>
      <c r="B31" t="s">
        <v>160</v>
      </c>
      <c r="C31" t="s">
        <v>104</v>
      </c>
      <c r="D31">
        <v>32</v>
      </c>
    </row>
    <row r="32" spans="1:4" x14ac:dyDescent="0.3">
      <c r="A32" t="s">
        <v>124</v>
      </c>
      <c r="B32" t="s">
        <v>160</v>
      </c>
      <c r="C32" t="s">
        <v>104</v>
      </c>
      <c r="D32">
        <v>24</v>
      </c>
    </row>
    <row r="33" spans="1:4" x14ac:dyDescent="0.3">
      <c r="A33" t="s">
        <v>126</v>
      </c>
      <c r="B33" t="s">
        <v>160</v>
      </c>
      <c r="C33" t="s">
        <v>104</v>
      </c>
      <c r="D33">
        <v>26</v>
      </c>
    </row>
    <row r="34" spans="1:4" x14ac:dyDescent="0.3">
      <c r="A34" t="s">
        <v>129</v>
      </c>
      <c r="B34" t="s">
        <v>160</v>
      </c>
      <c r="C34" t="s">
        <v>104</v>
      </c>
      <c r="D34">
        <v>28</v>
      </c>
    </row>
    <row r="35" spans="1:4" x14ac:dyDescent="0.3">
      <c r="A35" t="s">
        <v>133</v>
      </c>
      <c r="B35" t="s">
        <v>160</v>
      </c>
      <c r="C35" t="s">
        <v>104</v>
      </c>
      <c r="D35">
        <v>22</v>
      </c>
    </row>
    <row r="36" spans="1:4" x14ac:dyDescent="0.3">
      <c r="A36" t="s">
        <v>138</v>
      </c>
      <c r="B36" t="s">
        <v>160</v>
      </c>
      <c r="C36" t="s">
        <v>104</v>
      </c>
      <c r="D36">
        <v>23</v>
      </c>
    </row>
    <row r="37" spans="1:4" x14ac:dyDescent="0.3">
      <c r="A37" t="s">
        <v>141</v>
      </c>
      <c r="B37" t="s">
        <v>160</v>
      </c>
      <c r="C37" t="s">
        <v>104</v>
      </c>
      <c r="D37">
        <v>43</v>
      </c>
    </row>
    <row r="38" spans="1:4" x14ac:dyDescent="0.3">
      <c r="A38" t="s">
        <v>144</v>
      </c>
      <c r="B38" t="s">
        <v>160</v>
      </c>
      <c r="C38" t="s">
        <v>104</v>
      </c>
      <c r="D38">
        <v>46</v>
      </c>
    </row>
    <row r="39" spans="1:4" x14ac:dyDescent="0.3">
      <c r="A39" t="s">
        <v>147</v>
      </c>
      <c r="B39" t="s">
        <v>160</v>
      </c>
      <c r="C39" t="s">
        <v>104</v>
      </c>
      <c r="D39">
        <v>50</v>
      </c>
    </row>
    <row r="40" spans="1:4" x14ac:dyDescent="0.3">
      <c r="A40" t="s">
        <v>150</v>
      </c>
      <c r="B40" t="s">
        <v>160</v>
      </c>
      <c r="C40" t="s">
        <v>104</v>
      </c>
      <c r="D40">
        <v>53</v>
      </c>
    </row>
    <row r="41" spans="1:4" x14ac:dyDescent="0.3">
      <c r="A41" t="s">
        <v>17</v>
      </c>
      <c r="B41" t="s">
        <v>160</v>
      </c>
      <c r="C41" t="s">
        <v>104</v>
      </c>
      <c r="D41">
        <v>54</v>
      </c>
    </row>
    <row r="42" spans="1:4" x14ac:dyDescent="0.3">
      <c r="A42" t="s">
        <v>18</v>
      </c>
      <c r="B42" t="s">
        <v>160</v>
      </c>
      <c r="C42" t="s">
        <v>104</v>
      </c>
      <c r="D42">
        <v>55</v>
      </c>
    </row>
    <row r="43" spans="1:4" x14ac:dyDescent="0.3">
      <c r="A43" t="s">
        <v>19</v>
      </c>
      <c r="B43" t="s">
        <v>160</v>
      </c>
      <c r="C43" t="s">
        <v>104</v>
      </c>
      <c r="D43">
        <v>61</v>
      </c>
    </row>
    <row r="44" spans="1:4" x14ac:dyDescent="0.3">
      <c r="A44" t="s">
        <v>20</v>
      </c>
      <c r="B44" t="s">
        <v>160</v>
      </c>
      <c r="C44" t="s">
        <v>104</v>
      </c>
      <c r="D44">
        <v>44</v>
      </c>
    </row>
    <row r="45" spans="1:4" x14ac:dyDescent="0.3">
      <c r="A45" t="s">
        <v>21</v>
      </c>
      <c r="B45" t="s">
        <v>160</v>
      </c>
      <c r="C45" t="s">
        <v>104</v>
      </c>
      <c r="D45">
        <v>46</v>
      </c>
    </row>
    <row r="46" spans="1:4" x14ac:dyDescent="0.3">
      <c r="A46" t="s">
        <v>155</v>
      </c>
      <c r="B46" t="s">
        <v>160</v>
      </c>
      <c r="C46" t="s">
        <v>104</v>
      </c>
      <c r="D46">
        <v>46</v>
      </c>
    </row>
    <row r="47" spans="1:4" x14ac:dyDescent="0.3">
      <c r="A47" t="s">
        <v>156</v>
      </c>
      <c r="B47" t="s">
        <v>160</v>
      </c>
      <c r="C47" t="s">
        <v>104</v>
      </c>
      <c r="D47">
        <v>20</v>
      </c>
    </row>
    <row r="48" spans="1:4" x14ac:dyDescent="0.3">
      <c r="A48" t="s">
        <v>96</v>
      </c>
      <c r="B48" t="s">
        <v>31</v>
      </c>
      <c r="C48" t="s">
        <v>104</v>
      </c>
      <c r="D48">
        <v>682</v>
      </c>
    </row>
    <row r="49" spans="1:4" x14ac:dyDescent="0.3">
      <c r="A49" t="s">
        <v>99</v>
      </c>
      <c r="B49" t="s">
        <v>31</v>
      </c>
      <c r="C49" t="s">
        <v>104</v>
      </c>
      <c r="D49">
        <v>705</v>
      </c>
    </row>
    <row r="50" spans="1:4" x14ac:dyDescent="0.3">
      <c r="A50" t="s">
        <v>102</v>
      </c>
      <c r="B50" t="s">
        <v>31</v>
      </c>
      <c r="C50" t="s">
        <v>104</v>
      </c>
      <c r="D50">
        <v>727</v>
      </c>
    </row>
    <row r="51" spans="1:4" x14ac:dyDescent="0.3">
      <c r="A51" t="s">
        <v>108</v>
      </c>
      <c r="B51" t="s">
        <v>31</v>
      </c>
      <c r="C51" t="s">
        <v>104</v>
      </c>
      <c r="D51">
        <v>739</v>
      </c>
    </row>
    <row r="52" spans="1:4" x14ac:dyDescent="0.3">
      <c r="A52" t="s">
        <v>112</v>
      </c>
      <c r="B52" t="s">
        <v>31</v>
      </c>
      <c r="C52" t="s">
        <v>104</v>
      </c>
      <c r="D52">
        <v>747</v>
      </c>
    </row>
    <row r="53" spans="1:4" x14ac:dyDescent="0.3">
      <c r="A53" t="s">
        <v>117</v>
      </c>
      <c r="B53" t="s">
        <v>31</v>
      </c>
      <c r="C53" t="s">
        <v>104</v>
      </c>
      <c r="D53">
        <v>750</v>
      </c>
    </row>
    <row r="54" spans="1:4" x14ac:dyDescent="0.3">
      <c r="A54" t="s">
        <v>121</v>
      </c>
      <c r="B54" t="s">
        <v>31</v>
      </c>
      <c r="C54" t="s">
        <v>104</v>
      </c>
      <c r="D54">
        <v>752</v>
      </c>
    </row>
    <row r="55" spans="1:4" x14ac:dyDescent="0.3">
      <c r="A55" t="s">
        <v>124</v>
      </c>
      <c r="B55" t="s">
        <v>31</v>
      </c>
      <c r="C55" t="s">
        <v>104</v>
      </c>
      <c r="D55">
        <v>753</v>
      </c>
    </row>
    <row r="56" spans="1:4" x14ac:dyDescent="0.3">
      <c r="A56" t="s">
        <v>126</v>
      </c>
      <c r="B56" t="s">
        <v>31</v>
      </c>
      <c r="C56" t="s">
        <v>104</v>
      </c>
      <c r="D56">
        <v>756</v>
      </c>
    </row>
    <row r="57" spans="1:4" x14ac:dyDescent="0.3">
      <c r="A57" t="s">
        <v>129</v>
      </c>
      <c r="B57" t="s">
        <v>31</v>
      </c>
      <c r="C57" t="s">
        <v>104</v>
      </c>
      <c r="D57">
        <v>790</v>
      </c>
    </row>
    <row r="58" spans="1:4" x14ac:dyDescent="0.3">
      <c r="A58" t="s">
        <v>133</v>
      </c>
      <c r="B58" t="s">
        <v>31</v>
      </c>
      <c r="C58" t="s">
        <v>104</v>
      </c>
      <c r="D58">
        <v>796</v>
      </c>
    </row>
    <row r="59" spans="1:4" x14ac:dyDescent="0.3">
      <c r="A59" t="s">
        <v>138</v>
      </c>
      <c r="B59" t="s">
        <v>31</v>
      </c>
      <c r="C59" t="s">
        <v>104</v>
      </c>
      <c r="D59">
        <v>800</v>
      </c>
    </row>
    <row r="60" spans="1:4" x14ac:dyDescent="0.3">
      <c r="A60" t="s">
        <v>141</v>
      </c>
      <c r="B60" t="s">
        <v>31</v>
      </c>
      <c r="C60" t="s">
        <v>104</v>
      </c>
      <c r="D60">
        <v>815</v>
      </c>
    </row>
    <row r="61" spans="1:4" x14ac:dyDescent="0.3">
      <c r="A61" t="s">
        <v>144</v>
      </c>
      <c r="B61" t="s">
        <v>31</v>
      </c>
      <c r="C61" t="s">
        <v>104</v>
      </c>
      <c r="D61">
        <v>829</v>
      </c>
    </row>
    <row r="62" spans="1:4" x14ac:dyDescent="0.3">
      <c r="A62" t="s">
        <v>147</v>
      </c>
      <c r="B62" t="s">
        <v>31</v>
      </c>
      <c r="C62" t="s">
        <v>104</v>
      </c>
      <c r="D62">
        <v>843</v>
      </c>
    </row>
    <row r="63" spans="1:4" x14ac:dyDescent="0.3">
      <c r="A63" t="s">
        <v>150</v>
      </c>
      <c r="B63" t="s">
        <v>31</v>
      </c>
      <c r="C63" t="s">
        <v>104</v>
      </c>
      <c r="D63">
        <v>861</v>
      </c>
    </row>
    <row r="64" spans="1:4" x14ac:dyDescent="0.3">
      <c r="A64" t="s">
        <v>17</v>
      </c>
      <c r="B64" t="s">
        <v>31</v>
      </c>
      <c r="C64" t="s">
        <v>104</v>
      </c>
      <c r="D64">
        <v>872</v>
      </c>
    </row>
    <row r="65" spans="1:4" x14ac:dyDescent="0.3">
      <c r="A65" t="s">
        <v>18</v>
      </c>
      <c r="B65" t="s">
        <v>31</v>
      </c>
      <c r="C65" t="s">
        <v>104</v>
      </c>
      <c r="D65">
        <v>882</v>
      </c>
    </row>
    <row r="66" spans="1:4" x14ac:dyDescent="0.3">
      <c r="A66" t="s">
        <v>19</v>
      </c>
      <c r="B66" t="s">
        <v>31</v>
      </c>
      <c r="C66" t="s">
        <v>104</v>
      </c>
      <c r="D66">
        <v>920</v>
      </c>
    </row>
    <row r="67" spans="1:4" x14ac:dyDescent="0.3">
      <c r="A67" t="s">
        <v>20</v>
      </c>
      <c r="B67" t="s">
        <v>31</v>
      </c>
      <c r="C67" t="s">
        <v>104</v>
      </c>
      <c r="D67">
        <v>954</v>
      </c>
    </row>
    <row r="68" spans="1:4" x14ac:dyDescent="0.3">
      <c r="A68" t="s">
        <v>21</v>
      </c>
      <c r="B68" t="s">
        <v>31</v>
      </c>
      <c r="C68" t="s">
        <v>104</v>
      </c>
      <c r="D68">
        <v>982</v>
      </c>
    </row>
    <row r="69" spans="1:4" x14ac:dyDescent="0.3">
      <c r="A69" t="s">
        <v>155</v>
      </c>
      <c r="B69" t="s">
        <v>31</v>
      </c>
      <c r="C69" t="s">
        <v>104</v>
      </c>
      <c r="D69">
        <v>1006</v>
      </c>
    </row>
    <row r="70" spans="1:4" x14ac:dyDescent="0.3">
      <c r="A70" t="s">
        <v>156</v>
      </c>
      <c r="B70" t="s">
        <v>31</v>
      </c>
      <c r="C70" t="s">
        <v>104</v>
      </c>
      <c r="D70">
        <v>1092</v>
      </c>
    </row>
    <row r="71" spans="1:4" x14ac:dyDescent="0.3">
      <c r="A71" t="s">
        <v>96</v>
      </c>
      <c r="B71" t="s">
        <v>32</v>
      </c>
      <c r="C71" t="s">
        <v>33</v>
      </c>
      <c r="D71">
        <v>2664</v>
      </c>
    </row>
    <row r="72" spans="1:4" x14ac:dyDescent="0.3">
      <c r="A72" t="s">
        <v>99</v>
      </c>
      <c r="B72" t="s">
        <v>32</v>
      </c>
      <c r="C72" t="s">
        <v>33</v>
      </c>
      <c r="D72">
        <v>2869</v>
      </c>
    </row>
    <row r="73" spans="1:4" x14ac:dyDescent="0.3">
      <c r="A73" t="s">
        <v>102</v>
      </c>
      <c r="B73" t="s">
        <v>32</v>
      </c>
      <c r="C73" t="s">
        <v>33</v>
      </c>
      <c r="D73">
        <v>3180</v>
      </c>
    </row>
    <row r="74" spans="1:4" x14ac:dyDescent="0.3">
      <c r="A74" t="s">
        <v>108</v>
      </c>
      <c r="B74" t="s">
        <v>32</v>
      </c>
      <c r="C74" t="s">
        <v>33</v>
      </c>
      <c r="D74">
        <v>4743</v>
      </c>
    </row>
    <row r="75" spans="1:4" x14ac:dyDescent="0.3">
      <c r="A75" t="s">
        <v>112</v>
      </c>
      <c r="B75" t="s">
        <v>32</v>
      </c>
      <c r="C75" t="s">
        <v>33</v>
      </c>
      <c r="D75">
        <v>5060</v>
      </c>
    </row>
    <row r="76" spans="1:4" x14ac:dyDescent="0.3">
      <c r="A76" t="s">
        <v>117</v>
      </c>
      <c r="B76" t="s">
        <v>32</v>
      </c>
      <c r="C76" t="s">
        <v>33</v>
      </c>
      <c r="D76">
        <v>5451</v>
      </c>
    </row>
    <row r="77" spans="1:4" x14ac:dyDescent="0.3">
      <c r="A77" t="s">
        <v>121</v>
      </c>
      <c r="B77" t="s">
        <v>32</v>
      </c>
      <c r="C77" t="s">
        <v>33</v>
      </c>
      <c r="D77">
        <v>5783</v>
      </c>
    </row>
    <row r="78" spans="1:4" x14ac:dyDescent="0.3">
      <c r="A78" t="s">
        <v>124</v>
      </c>
      <c r="B78" t="s">
        <v>32</v>
      </c>
      <c r="C78" t="s">
        <v>33</v>
      </c>
      <c r="D78">
        <v>5934</v>
      </c>
    </row>
    <row r="79" spans="1:4" x14ac:dyDescent="0.3">
      <c r="A79" t="s">
        <v>126</v>
      </c>
      <c r="B79" t="s">
        <v>32</v>
      </c>
      <c r="C79" t="s">
        <v>33</v>
      </c>
      <c r="D79">
        <v>6124</v>
      </c>
    </row>
    <row r="80" spans="1:4" x14ac:dyDescent="0.3">
      <c r="A80" t="s">
        <v>129</v>
      </c>
      <c r="B80" t="s">
        <v>32</v>
      </c>
      <c r="C80" t="s">
        <v>33</v>
      </c>
      <c r="D80">
        <v>6517</v>
      </c>
    </row>
    <row r="81" spans="1:4" x14ac:dyDescent="0.3">
      <c r="A81" t="s">
        <v>133</v>
      </c>
      <c r="B81" t="s">
        <v>32</v>
      </c>
      <c r="C81" t="s">
        <v>33</v>
      </c>
      <c r="D81">
        <v>6643</v>
      </c>
    </row>
    <row r="82" spans="1:4" x14ac:dyDescent="0.3">
      <c r="A82" t="s">
        <v>138</v>
      </c>
      <c r="B82" t="s">
        <v>32</v>
      </c>
      <c r="C82" t="s">
        <v>33</v>
      </c>
      <c r="D82">
        <v>6845</v>
      </c>
    </row>
    <row r="83" spans="1:4" x14ac:dyDescent="0.3">
      <c r="A83" t="s">
        <v>141</v>
      </c>
      <c r="B83" t="s">
        <v>32</v>
      </c>
      <c r="C83" t="s">
        <v>33</v>
      </c>
      <c r="D83">
        <v>7197</v>
      </c>
    </row>
    <row r="84" spans="1:4" x14ac:dyDescent="0.3">
      <c r="A84" t="s">
        <v>144</v>
      </c>
      <c r="B84" t="s">
        <v>32</v>
      </c>
      <c r="C84" t="s">
        <v>33</v>
      </c>
      <c r="D84">
        <v>7775</v>
      </c>
    </row>
    <row r="85" spans="1:4" x14ac:dyDescent="0.3">
      <c r="A85" t="s">
        <v>147</v>
      </c>
      <c r="B85" t="s">
        <v>32</v>
      </c>
      <c r="C85" t="s">
        <v>33</v>
      </c>
      <c r="D85">
        <v>8288</v>
      </c>
    </row>
    <row r="86" spans="1:4" x14ac:dyDescent="0.3">
      <c r="A86" t="s">
        <v>150</v>
      </c>
      <c r="B86" t="s">
        <v>32</v>
      </c>
      <c r="C86" t="s">
        <v>33</v>
      </c>
      <c r="D86">
        <v>8711</v>
      </c>
    </row>
    <row r="87" spans="1:4" x14ac:dyDescent="0.3">
      <c r="A87" t="s">
        <v>17</v>
      </c>
      <c r="B87" t="s">
        <v>32</v>
      </c>
      <c r="C87" t="s">
        <v>33</v>
      </c>
      <c r="D87">
        <v>9242</v>
      </c>
    </row>
    <row r="88" spans="1:4" x14ac:dyDescent="0.3">
      <c r="A88" t="s">
        <v>18</v>
      </c>
      <c r="B88" t="s">
        <v>32</v>
      </c>
      <c r="C88" t="s">
        <v>33</v>
      </c>
      <c r="D88">
        <v>9818</v>
      </c>
    </row>
    <row r="89" spans="1:4" x14ac:dyDescent="0.3">
      <c r="A89" t="s">
        <v>19</v>
      </c>
      <c r="B89" t="s">
        <v>32</v>
      </c>
      <c r="C89" t="s">
        <v>33</v>
      </c>
      <c r="D89">
        <v>10480</v>
      </c>
    </row>
    <row r="90" spans="1:4" x14ac:dyDescent="0.3">
      <c r="A90" t="s">
        <v>20</v>
      </c>
      <c r="B90" t="s">
        <v>32</v>
      </c>
      <c r="C90" t="s">
        <v>33</v>
      </c>
      <c r="D90">
        <v>11502</v>
      </c>
    </row>
    <row r="91" spans="1:4" x14ac:dyDescent="0.3">
      <c r="A91" t="s">
        <v>21</v>
      </c>
      <c r="B91" t="s">
        <v>32</v>
      </c>
      <c r="C91" t="s">
        <v>33</v>
      </c>
      <c r="D91">
        <v>12253</v>
      </c>
    </row>
    <row r="92" spans="1:4" x14ac:dyDescent="0.3">
      <c r="A92" t="s">
        <v>155</v>
      </c>
      <c r="B92" t="s">
        <v>32</v>
      </c>
      <c r="C92" t="s">
        <v>33</v>
      </c>
      <c r="D92">
        <v>12503</v>
      </c>
    </row>
    <row r="93" spans="1:4" x14ac:dyDescent="0.3">
      <c r="A93" t="s">
        <v>156</v>
      </c>
      <c r="B93" t="s">
        <v>32</v>
      </c>
      <c r="C93" t="s">
        <v>33</v>
      </c>
      <c r="D93">
        <v>12853</v>
      </c>
    </row>
    <row r="94" spans="1:4" x14ac:dyDescent="0.3">
      <c r="A94" t="s">
        <v>96</v>
      </c>
      <c r="B94" t="s">
        <v>34</v>
      </c>
      <c r="C94" t="s">
        <v>35</v>
      </c>
      <c r="D94">
        <v>795</v>
      </c>
    </row>
    <row r="95" spans="1:4" x14ac:dyDescent="0.3">
      <c r="A95" t="s">
        <v>99</v>
      </c>
      <c r="B95" t="s">
        <v>34</v>
      </c>
      <c r="C95" t="s">
        <v>35</v>
      </c>
      <c r="D95">
        <v>804</v>
      </c>
    </row>
    <row r="96" spans="1:4" x14ac:dyDescent="0.3">
      <c r="A96" t="s">
        <v>102</v>
      </c>
      <c r="B96" t="s">
        <v>34</v>
      </c>
      <c r="C96" t="s">
        <v>35</v>
      </c>
      <c r="D96">
        <v>812</v>
      </c>
    </row>
    <row r="97" spans="1:4" x14ac:dyDescent="0.3">
      <c r="A97" t="s">
        <v>108</v>
      </c>
      <c r="B97" t="s">
        <v>34</v>
      </c>
      <c r="C97" t="s">
        <v>35</v>
      </c>
      <c r="D97">
        <v>831</v>
      </c>
    </row>
    <row r="98" spans="1:4" x14ac:dyDescent="0.3">
      <c r="A98" t="s">
        <v>112</v>
      </c>
      <c r="B98" t="s">
        <v>34</v>
      </c>
      <c r="C98" t="s">
        <v>35</v>
      </c>
      <c r="D98">
        <v>839</v>
      </c>
    </row>
    <row r="99" spans="1:4" x14ac:dyDescent="0.3">
      <c r="A99" t="s">
        <v>117</v>
      </c>
      <c r="B99" t="s">
        <v>34</v>
      </c>
      <c r="C99" t="s">
        <v>35</v>
      </c>
      <c r="D99">
        <v>849</v>
      </c>
    </row>
    <row r="100" spans="1:4" x14ac:dyDescent="0.3">
      <c r="A100" t="s">
        <v>121</v>
      </c>
      <c r="B100" t="s">
        <v>34</v>
      </c>
      <c r="C100" t="s">
        <v>35</v>
      </c>
      <c r="D100">
        <v>866</v>
      </c>
    </row>
    <row r="101" spans="1:4" x14ac:dyDescent="0.3">
      <c r="A101" t="s">
        <v>124</v>
      </c>
      <c r="B101" t="s">
        <v>34</v>
      </c>
      <c r="C101" t="s">
        <v>35</v>
      </c>
      <c r="D101">
        <v>908</v>
      </c>
    </row>
    <row r="102" spans="1:4" x14ac:dyDescent="0.3">
      <c r="A102" t="s">
        <v>126</v>
      </c>
      <c r="B102" t="s">
        <v>34</v>
      </c>
      <c r="C102" t="s">
        <v>35</v>
      </c>
      <c r="D102">
        <v>956</v>
      </c>
    </row>
    <row r="103" spans="1:4" x14ac:dyDescent="0.3">
      <c r="A103" t="s">
        <v>129</v>
      </c>
      <c r="B103" t="s">
        <v>34</v>
      </c>
      <c r="C103" t="s">
        <v>35</v>
      </c>
      <c r="D103">
        <v>1029</v>
      </c>
    </row>
    <row r="104" spans="1:4" x14ac:dyDescent="0.3">
      <c r="A104" t="s">
        <v>133</v>
      </c>
      <c r="B104" t="s">
        <v>34</v>
      </c>
      <c r="C104" t="s">
        <v>35</v>
      </c>
      <c r="D104">
        <v>1119</v>
      </c>
    </row>
    <row r="105" spans="1:4" x14ac:dyDescent="0.3">
      <c r="A105" t="s">
        <v>138</v>
      </c>
      <c r="B105" t="s">
        <v>34</v>
      </c>
      <c r="C105" t="s">
        <v>35</v>
      </c>
      <c r="D105">
        <v>1164</v>
      </c>
    </row>
    <row r="106" spans="1:4" x14ac:dyDescent="0.3">
      <c r="A106" t="s">
        <v>141</v>
      </c>
      <c r="B106" t="s">
        <v>34</v>
      </c>
      <c r="C106" t="s">
        <v>35</v>
      </c>
      <c r="D106">
        <v>1209</v>
      </c>
    </row>
    <row r="107" spans="1:4" x14ac:dyDescent="0.3">
      <c r="A107" t="s">
        <v>144</v>
      </c>
      <c r="B107" t="s">
        <v>34</v>
      </c>
      <c r="C107" t="s">
        <v>35</v>
      </c>
      <c r="D107">
        <v>1232</v>
      </c>
    </row>
    <row r="108" spans="1:4" x14ac:dyDescent="0.3">
      <c r="A108" t="s">
        <v>147</v>
      </c>
      <c r="B108" t="s">
        <v>34</v>
      </c>
      <c r="C108" t="s">
        <v>35</v>
      </c>
      <c r="D108">
        <v>1277</v>
      </c>
    </row>
    <row r="109" spans="1:4" x14ac:dyDescent="0.3">
      <c r="A109" t="s">
        <v>150</v>
      </c>
      <c r="B109" t="s">
        <v>34</v>
      </c>
      <c r="C109" t="s">
        <v>35</v>
      </c>
      <c r="D109">
        <v>1374</v>
      </c>
    </row>
    <row r="110" spans="1:4" x14ac:dyDescent="0.3">
      <c r="A110" t="s">
        <v>17</v>
      </c>
      <c r="B110" t="s">
        <v>34</v>
      </c>
      <c r="C110" t="s">
        <v>35</v>
      </c>
      <c r="D110">
        <v>1469</v>
      </c>
    </row>
    <row r="111" spans="1:4" x14ac:dyDescent="0.3">
      <c r="A111" t="s">
        <v>18</v>
      </c>
      <c r="B111" t="s">
        <v>34</v>
      </c>
      <c r="C111" t="s">
        <v>35</v>
      </c>
      <c r="D111">
        <v>1567</v>
      </c>
    </row>
    <row r="112" spans="1:4" x14ac:dyDescent="0.3">
      <c r="A112" t="s">
        <v>19</v>
      </c>
      <c r="B112" t="s">
        <v>34</v>
      </c>
      <c r="C112" t="s">
        <v>35</v>
      </c>
      <c r="D112">
        <v>1676</v>
      </c>
    </row>
    <row r="113" spans="1:4" x14ac:dyDescent="0.3">
      <c r="A113" t="s">
        <v>20</v>
      </c>
      <c r="B113" t="s">
        <v>34</v>
      </c>
      <c r="C113" t="s">
        <v>35</v>
      </c>
      <c r="D113">
        <v>1747</v>
      </c>
    </row>
    <row r="114" spans="1:4" x14ac:dyDescent="0.3">
      <c r="A114" t="s">
        <v>21</v>
      </c>
      <c r="B114" t="s">
        <v>34</v>
      </c>
      <c r="C114" t="s">
        <v>35</v>
      </c>
      <c r="D114">
        <v>1848</v>
      </c>
    </row>
    <row r="115" spans="1:4" x14ac:dyDescent="0.3">
      <c r="A115" t="s">
        <v>155</v>
      </c>
      <c r="B115" t="s">
        <v>34</v>
      </c>
      <c r="C115" t="s">
        <v>35</v>
      </c>
      <c r="D115">
        <v>1956</v>
      </c>
    </row>
    <row r="116" spans="1:4" x14ac:dyDescent="0.3">
      <c r="A116" t="s">
        <v>156</v>
      </c>
      <c r="B116" t="s">
        <v>34</v>
      </c>
      <c r="C116" t="s">
        <v>35</v>
      </c>
      <c r="D116">
        <v>2124</v>
      </c>
    </row>
    <row r="117" spans="1:4" x14ac:dyDescent="0.3">
      <c r="A117" t="s">
        <v>96</v>
      </c>
      <c r="B117" t="s">
        <v>36</v>
      </c>
      <c r="C117" t="s">
        <v>37</v>
      </c>
      <c r="D117">
        <v>45</v>
      </c>
    </row>
    <row r="118" spans="1:4" x14ac:dyDescent="0.3">
      <c r="A118" t="s">
        <v>99</v>
      </c>
      <c r="B118" t="s">
        <v>36</v>
      </c>
      <c r="C118" t="s">
        <v>37</v>
      </c>
      <c r="D118">
        <v>46</v>
      </c>
    </row>
    <row r="119" spans="1:4" x14ac:dyDescent="0.3">
      <c r="A119" t="s">
        <v>102</v>
      </c>
      <c r="B119" t="s">
        <v>36</v>
      </c>
      <c r="C119" t="s">
        <v>37</v>
      </c>
      <c r="D119">
        <v>48</v>
      </c>
    </row>
    <row r="120" spans="1:4" x14ac:dyDescent="0.3">
      <c r="A120" t="s">
        <v>108</v>
      </c>
      <c r="B120" t="s">
        <v>36</v>
      </c>
      <c r="C120" t="s">
        <v>37</v>
      </c>
      <c r="D120">
        <v>57</v>
      </c>
    </row>
    <row r="121" spans="1:4" x14ac:dyDescent="0.3">
      <c r="A121" t="s">
        <v>112</v>
      </c>
      <c r="B121" t="s">
        <v>36</v>
      </c>
      <c r="C121" t="s">
        <v>37</v>
      </c>
      <c r="D121">
        <v>56</v>
      </c>
    </row>
    <row r="122" spans="1:4" x14ac:dyDescent="0.3">
      <c r="A122" t="s">
        <v>117</v>
      </c>
      <c r="B122" t="s">
        <v>36</v>
      </c>
      <c r="C122" t="s">
        <v>37</v>
      </c>
      <c r="D122">
        <v>57</v>
      </c>
    </row>
    <row r="123" spans="1:4" x14ac:dyDescent="0.3">
      <c r="A123" t="s">
        <v>121</v>
      </c>
      <c r="B123" t="s">
        <v>36</v>
      </c>
      <c r="C123" t="s">
        <v>37</v>
      </c>
      <c r="D123">
        <v>58</v>
      </c>
    </row>
    <row r="124" spans="1:4" x14ac:dyDescent="0.3">
      <c r="A124" t="s">
        <v>124</v>
      </c>
      <c r="B124" t="s">
        <v>36</v>
      </c>
      <c r="C124" t="s">
        <v>37</v>
      </c>
      <c r="D124">
        <v>59</v>
      </c>
    </row>
    <row r="125" spans="1:4" x14ac:dyDescent="0.3">
      <c r="A125" t="s">
        <v>126</v>
      </c>
      <c r="B125" t="s">
        <v>36</v>
      </c>
      <c r="C125" t="s">
        <v>37</v>
      </c>
      <c r="D125">
        <v>59</v>
      </c>
    </row>
    <row r="126" spans="1:4" x14ac:dyDescent="0.3">
      <c r="A126" t="s">
        <v>129</v>
      </c>
      <c r="B126" t="s">
        <v>36</v>
      </c>
      <c r="C126" t="s">
        <v>37</v>
      </c>
      <c r="D126">
        <v>60</v>
      </c>
    </row>
    <row r="127" spans="1:4" x14ac:dyDescent="0.3">
      <c r="A127" t="s">
        <v>133</v>
      </c>
      <c r="B127" t="s">
        <v>36</v>
      </c>
      <c r="C127" t="s">
        <v>37</v>
      </c>
      <c r="D127">
        <v>60</v>
      </c>
    </row>
    <row r="128" spans="1:4" x14ac:dyDescent="0.3">
      <c r="A128" t="s">
        <v>138</v>
      </c>
      <c r="B128" t="s">
        <v>36</v>
      </c>
      <c r="C128" t="s">
        <v>37</v>
      </c>
      <c r="D128">
        <v>61</v>
      </c>
    </row>
    <row r="129" spans="1:4" x14ac:dyDescent="0.3">
      <c r="A129" t="s">
        <v>141</v>
      </c>
      <c r="B129" t="s">
        <v>36</v>
      </c>
      <c r="C129" t="s">
        <v>37</v>
      </c>
      <c r="D129">
        <v>68</v>
      </c>
    </row>
    <row r="130" spans="1:4" x14ac:dyDescent="0.3">
      <c r="A130" t="s">
        <v>144</v>
      </c>
      <c r="B130" t="s">
        <v>36</v>
      </c>
      <c r="C130" t="s">
        <v>37</v>
      </c>
      <c r="D130">
        <v>67</v>
      </c>
    </row>
    <row r="131" spans="1:4" x14ac:dyDescent="0.3">
      <c r="A131" t="s">
        <v>147</v>
      </c>
      <c r="B131" t="s">
        <v>36</v>
      </c>
      <c r="C131" t="s">
        <v>37</v>
      </c>
      <c r="D131">
        <v>54</v>
      </c>
    </row>
    <row r="132" spans="1:4" x14ac:dyDescent="0.3">
      <c r="A132" t="s">
        <v>150</v>
      </c>
      <c r="B132" t="s">
        <v>36</v>
      </c>
      <c r="C132" t="s">
        <v>37</v>
      </c>
      <c r="D132">
        <v>51</v>
      </c>
    </row>
    <row r="133" spans="1:4" x14ac:dyDescent="0.3">
      <c r="A133" t="s">
        <v>17</v>
      </c>
      <c r="B133" t="s">
        <v>36</v>
      </c>
      <c r="C133" t="s">
        <v>37</v>
      </c>
      <c r="D133">
        <v>55</v>
      </c>
    </row>
    <row r="134" spans="1:4" x14ac:dyDescent="0.3">
      <c r="A134" t="s">
        <v>18</v>
      </c>
      <c r="B134" t="s">
        <v>36</v>
      </c>
      <c r="C134" t="s">
        <v>37</v>
      </c>
      <c r="D134">
        <v>57</v>
      </c>
    </row>
    <row r="135" spans="1:4" x14ac:dyDescent="0.3">
      <c r="A135" t="s">
        <v>19</v>
      </c>
      <c r="B135" t="s">
        <v>36</v>
      </c>
      <c r="C135" t="s">
        <v>37</v>
      </c>
      <c r="D135">
        <v>61</v>
      </c>
    </row>
    <row r="136" spans="1:4" x14ac:dyDescent="0.3">
      <c r="A136" t="s">
        <v>20</v>
      </c>
      <c r="B136" t="s">
        <v>36</v>
      </c>
      <c r="C136" t="s">
        <v>37</v>
      </c>
      <c r="D136">
        <v>60</v>
      </c>
    </row>
    <row r="137" spans="1:4" x14ac:dyDescent="0.3">
      <c r="A137" t="s">
        <v>21</v>
      </c>
      <c r="B137" t="s">
        <v>36</v>
      </c>
      <c r="C137" t="s">
        <v>37</v>
      </c>
      <c r="D137">
        <v>63</v>
      </c>
    </row>
    <row r="138" spans="1:4" x14ac:dyDescent="0.3">
      <c r="A138" t="s">
        <v>155</v>
      </c>
      <c r="B138" t="s">
        <v>36</v>
      </c>
      <c r="C138" t="s">
        <v>37</v>
      </c>
      <c r="D138">
        <v>64</v>
      </c>
    </row>
    <row r="139" spans="1:4" x14ac:dyDescent="0.3">
      <c r="A139" t="s">
        <v>156</v>
      </c>
      <c r="B139" t="s">
        <v>36</v>
      </c>
      <c r="C139" t="s">
        <v>37</v>
      </c>
      <c r="D139">
        <v>64</v>
      </c>
    </row>
    <row r="140" spans="1:4" x14ac:dyDescent="0.3">
      <c r="A140" t="s">
        <v>96</v>
      </c>
      <c r="B140" t="s">
        <v>38</v>
      </c>
      <c r="C140" t="s">
        <v>37</v>
      </c>
      <c r="D140">
        <v>5862</v>
      </c>
    </row>
    <row r="141" spans="1:4" x14ac:dyDescent="0.3">
      <c r="A141" t="s">
        <v>99</v>
      </c>
      <c r="B141" t="s">
        <v>38</v>
      </c>
      <c r="C141" t="s">
        <v>37</v>
      </c>
      <c r="D141">
        <v>6089</v>
      </c>
    </row>
    <row r="142" spans="1:4" x14ac:dyDescent="0.3">
      <c r="A142" t="s">
        <v>102</v>
      </c>
      <c r="B142" t="s">
        <v>38</v>
      </c>
      <c r="C142" t="s">
        <v>37</v>
      </c>
      <c r="D142">
        <v>6421</v>
      </c>
    </row>
    <row r="143" spans="1:4" x14ac:dyDescent="0.3">
      <c r="A143" t="s">
        <v>108</v>
      </c>
      <c r="B143" t="s">
        <v>38</v>
      </c>
      <c r="C143" t="s">
        <v>37</v>
      </c>
      <c r="D143">
        <v>6745</v>
      </c>
    </row>
    <row r="144" spans="1:4" x14ac:dyDescent="0.3">
      <c r="A144" t="s">
        <v>112</v>
      </c>
      <c r="B144" t="s">
        <v>38</v>
      </c>
      <c r="C144" t="s">
        <v>37</v>
      </c>
      <c r="D144">
        <v>6960</v>
      </c>
    </row>
    <row r="145" spans="1:4" x14ac:dyDescent="0.3">
      <c r="A145" t="s">
        <v>117</v>
      </c>
      <c r="B145" t="s">
        <v>38</v>
      </c>
      <c r="C145" t="s">
        <v>37</v>
      </c>
      <c r="D145">
        <v>7533</v>
      </c>
    </row>
    <row r="146" spans="1:4" x14ac:dyDescent="0.3">
      <c r="A146" t="s">
        <v>121</v>
      </c>
      <c r="B146" t="s">
        <v>38</v>
      </c>
      <c r="C146" t="s">
        <v>37</v>
      </c>
      <c r="D146">
        <v>7911</v>
      </c>
    </row>
    <row r="147" spans="1:4" x14ac:dyDescent="0.3">
      <c r="A147" t="s">
        <v>124</v>
      </c>
      <c r="B147" t="s">
        <v>38</v>
      </c>
      <c r="C147" t="s">
        <v>37</v>
      </c>
      <c r="D147">
        <v>8386</v>
      </c>
    </row>
    <row r="148" spans="1:4" x14ac:dyDescent="0.3">
      <c r="A148" t="s">
        <v>126</v>
      </c>
      <c r="B148" t="s">
        <v>38</v>
      </c>
      <c r="C148" t="s">
        <v>37</v>
      </c>
      <c r="D148">
        <v>8844</v>
      </c>
    </row>
    <row r="149" spans="1:4" x14ac:dyDescent="0.3">
      <c r="A149" t="s">
        <v>129</v>
      </c>
      <c r="B149" t="s">
        <v>38</v>
      </c>
      <c r="C149" t="s">
        <v>37</v>
      </c>
      <c r="D149">
        <v>9321</v>
      </c>
    </row>
    <row r="150" spans="1:4" x14ac:dyDescent="0.3">
      <c r="A150" t="s">
        <v>133</v>
      </c>
      <c r="B150" t="s">
        <v>38</v>
      </c>
      <c r="C150" t="s">
        <v>37</v>
      </c>
      <c r="D150">
        <v>9817</v>
      </c>
    </row>
    <row r="151" spans="1:4" x14ac:dyDescent="0.3">
      <c r="A151" t="s">
        <v>138</v>
      </c>
      <c r="B151" t="s">
        <v>38</v>
      </c>
      <c r="C151" t="s">
        <v>37</v>
      </c>
      <c r="D151">
        <v>10315</v>
      </c>
    </row>
    <row r="152" spans="1:4" x14ac:dyDescent="0.3">
      <c r="A152" t="s">
        <v>141</v>
      </c>
      <c r="B152" t="s">
        <v>38</v>
      </c>
      <c r="C152" t="s">
        <v>37</v>
      </c>
      <c r="D152">
        <v>11112</v>
      </c>
    </row>
    <row r="153" spans="1:4" x14ac:dyDescent="0.3">
      <c r="A153" t="s">
        <v>144</v>
      </c>
      <c r="B153" t="s">
        <v>38</v>
      </c>
      <c r="C153" t="s">
        <v>37</v>
      </c>
      <c r="D153">
        <v>11691</v>
      </c>
    </row>
    <row r="154" spans="1:4" x14ac:dyDescent="0.3">
      <c r="A154" t="s">
        <v>147</v>
      </c>
      <c r="B154" t="s">
        <v>38</v>
      </c>
      <c r="C154" t="s">
        <v>37</v>
      </c>
      <c r="D154">
        <v>12262</v>
      </c>
    </row>
    <row r="155" spans="1:4" x14ac:dyDescent="0.3">
      <c r="A155" t="s">
        <v>150</v>
      </c>
      <c r="B155" t="s">
        <v>38</v>
      </c>
      <c r="C155" t="s">
        <v>37</v>
      </c>
      <c r="D155">
        <v>12784</v>
      </c>
    </row>
    <row r="156" spans="1:4" x14ac:dyDescent="0.3">
      <c r="A156" t="s">
        <v>17</v>
      </c>
      <c r="B156" t="s">
        <v>38</v>
      </c>
      <c r="C156" t="s">
        <v>37</v>
      </c>
      <c r="D156">
        <v>13569</v>
      </c>
    </row>
    <row r="157" spans="1:4" x14ac:dyDescent="0.3">
      <c r="A157" t="s">
        <v>18</v>
      </c>
      <c r="B157" t="s">
        <v>38</v>
      </c>
      <c r="C157" t="s">
        <v>37</v>
      </c>
      <c r="D157">
        <v>14493</v>
      </c>
    </row>
    <row r="158" spans="1:4" x14ac:dyDescent="0.3">
      <c r="A158" t="s">
        <v>19</v>
      </c>
      <c r="B158" t="s">
        <v>38</v>
      </c>
      <c r="C158" t="s">
        <v>37</v>
      </c>
      <c r="D158">
        <v>15292</v>
      </c>
    </row>
    <row r="159" spans="1:4" x14ac:dyDescent="0.3">
      <c r="A159" t="s">
        <v>20</v>
      </c>
      <c r="B159" t="s">
        <v>38</v>
      </c>
      <c r="C159" t="s">
        <v>37</v>
      </c>
      <c r="D159">
        <v>15853</v>
      </c>
    </row>
    <row r="160" spans="1:4" x14ac:dyDescent="0.3">
      <c r="A160" t="s">
        <v>21</v>
      </c>
      <c r="B160" t="s">
        <v>38</v>
      </c>
      <c r="C160" t="s">
        <v>37</v>
      </c>
      <c r="D160">
        <v>16722</v>
      </c>
    </row>
    <row r="161" spans="1:4" x14ac:dyDescent="0.3">
      <c r="A161" t="s">
        <v>155</v>
      </c>
      <c r="B161" t="s">
        <v>38</v>
      </c>
      <c r="C161" t="s">
        <v>37</v>
      </c>
      <c r="D161">
        <v>17281</v>
      </c>
    </row>
    <row r="162" spans="1:4" x14ac:dyDescent="0.3">
      <c r="A162" t="s">
        <v>156</v>
      </c>
      <c r="B162" t="s">
        <v>38</v>
      </c>
      <c r="C162" t="s">
        <v>37</v>
      </c>
      <c r="D162">
        <v>18312</v>
      </c>
    </row>
    <row r="163" spans="1:4" x14ac:dyDescent="0.3">
      <c r="A163" t="s">
        <v>96</v>
      </c>
      <c r="B163" t="s">
        <v>39</v>
      </c>
      <c r="C163" t="s">
        <v>40</v>
      </c>
      <c r="D163">
        <v>4978</v>
      </c>
    </row>
    <row r="164" spans="1:4" x14ac:dyDescent="0.3">
      <c r="A164" t="s">
        <v>99</v>
      </c>
      <c r="B164" t="s">
        <v>39</v>
      </c>
      <c r="C164" t="s">
        <v>40</v>
      </c>
      <c r="D164">
        <v>5124</v>
      </c>
    </row>
    <row r="165" spans="1:4" x14ac:dyDescent="0.3">
      <c r="A165" t="s">
        <v>102</v>
      </c>
      <c r="B165" t="s">
        <v>39</v>
      </c>
      <c r="C165" t="s">
        <v>40</v>
      </c>
      <c r="D165">
        <v>5221</v>
      </c>
    </row>
    <row r="166" spans="1:4" x14ac:dyDescent="0.3">
      <c r="A166" t="s">
        <v>108</v>
      </c>
      <c r="B166" t="s">
        <v>39</v>
      </c>
      <c r="C166" t="s">
        <v>40</v>
      </c>
      <c r="D166">
        <v>5222</v>
      </c>
    </row>
    <row r="167" spans="1:4" x14ac:dyDescent="0.3">
      <c r="A167" t="s">
        <v>112</v>
      </c>
      <c r="B167" t="s">
        <v>39</v>
      </c>
      <c r="C167" t="s">
        <v>40</v>
      </c>
      <c r="D167">
        <v>5299</v>
      </c>
    </row>
    <row r="168" spans="1:4" x14ac:dyDescent="0.3">
      <c r="A168" t="s">
        <v>117</v>
      </c>
      <c r="B168" t="s">
        <v>39</v>
      </c>
      <c r="C168" t="s">
        <v>40</v>
      </c>
      <c r="D168">
        <v>5366</v>
      </c>
    </row>
    <row r="169" spans="1:4" x14ac:dyDescent="0.3">
      <c r="A169" t="s">
        <v>121</v>
      </c>
      <c r="B169" t="s">
        <v>39</v>
      </c>
      <c r="C169" t="s">
        <v>40</v>
      </c>
      <c r="D169">
        <v>5442</v>
      </c>
    </row>
    <row r="170" spans="1:4" x14ac:dyDescent="0.3">
      <c r="A170" t="s">
        <v>124</v>
      </c>
      <c r="B170" t="s">
        <v>39</v>
      </c>
      <c r="C170" t="s">
        <v>40</v>
      </c>
      <c r="D170">
        <v>5745</v>
      </c>
    </row>
    <row r="171" spans="1:4" x14ac:dyDescent="0.3">
      <c r="A171" t="s">
        <v>126</v>
      </c>
      <c r="B171" t="s">
        <v>39</v>
      </c>
      <c r="C171" t="s">
        <v>40</v>
      </c>
      <c r="D171">
        <v>6006</v>
      </c>
    </row>
    <row r="172" spans="1:4" x14ac:dyDescent="0.3">
      <c r="A172" t="s">
        <v>129</v>
      </c>
      <c r="B172" t="s">
        <v>39</v>
      </c>
      <c r="C172" t="s">
        <v>40</v>
      </c>
      <c r="D172">
        <v>6267</v>
      </c>
    </row>
    <row r="173" spans="1:4" x14ac:dyDescent="0.3">
      <c r="A173" t="s">
        <v>133</v>
      </c>
      <c r="B173" t="s">
        <v>39</v>
      </c>
      <c r="C173" t="s">
        <v>40</v>
      </c>
      <c r="D173">
        <v>6661</v>
      </c>
    </row>
    <row r="174" spans="1:4" x14ac:dyDescent="0.3">
      <c r="A174" t="s">
        <v>138</v>
      </c>
      <c r="B174" t="s">
        <v>39</v>
      </c>
      <c r="C174" t="s">
        <v>40</v>
      </c>
      <c r="D174">
        <v>7040</v>
      </c>
    </row>
    <row r="175" spans="1:4" x14ac:dyDescent="0.3">
      <c r="A175" t="s">
        <v>141</v>
      </c>
      <c r="B175" t="s">
        <v>39</v>
      </c>
      <c r="C175" t="s">
        <v>40</v>
      </c>
      <c r="D175">
        <v>7442</v>
      </c>
    </row>
    <row r="176" spans="1:4" x14ac:dyDescent="0.3">
      <c r="A176" t="s">
        <v>144</v>
      </c>
      <c r="B176" t="s">
        <v>39</v>
      </c>
      <c r="C176" t="s">
        <v>40</v>
      </c>
      <c r="D176">
        <v>7901</v>
      </c>
    </row>
    <row r="177" spans="1:4" x14ac:dyDescent="0.3">
      <c r="A177" t="s">
        <v>147</v>
      </c>
      <c r="B177" t="s">
        <v>39</v>
      </c>
      <c r="C177" t="s">
        <v>40</v>
      </c>
      <c r="D177">
        <v>8381</v>
      </c>
    </row>
    <row r="178" spans="1:4" x14ac:dyDescent="0.3">
      <c r="A178" t="s">
        <v>150</v>
      </c>
      <c r="B178" t="s">
        <v>39</v>
      </c>
      <c r="C178" t="s">
        <v>40</v>
      </c>
      <c r="D178">
        <v>8975</v>
      </c>
    </row>
    <row r="179" spans="1:4" x14ac:dyDescent="0.3">
      <c r="A179" t="s">
        <v>17</v>
      </c>
      <c r="B179" t="s">
        <v>39</v>
      </c>
      <c r="C179" t="s">
        <v>40</v>
      </c>
      <c r="D179">
        <v>9809</v>
      </c>
    </row>
    <row r="180" spans="1:4" x14ac:dyDescent="0.3">
      <c r="A180" t="s">
        <v>18</v>
      </c>
      <c r="B180" t="s">
        <v>39</v>
      </c>
      <c r="C180" t="s">
        <v>40</v>
      </c>
      <c r="D180">
        <v>10726</v>
      </c>
    </row>
    <row r="181" spans="1:4" x14ac:dyDescent="0.3">
      <c r="A181" t="s">
        <v>19</v>
      </c>
      <c r="B181" t="s">
        <v>39</v>
      </c>
      <c r="C181" t="s">
        <v>40</v>
      </c>
      <c r="D181">
        <v>11735</v>
      </c>
    </row>
    <row r="182" spans="1:4" x14ac:dyDescent="0.3">
      <c r="A182" t="s">
        <v>20</v>
      </c>
      <c r="B182" t="s">
        <v>39</v>
      </c>
      <c r="C182" t="s">
        <v>40</v>
      </c>
      <c r="D182">
        <v>11284</v>
      </c>
    </row>
    <row r="183" spans="1:4" x14ac:dyDescent="0.3">
      <c r="A183" t="s">
        <v>21</v>
      </c>
      <c r="B183" t="s">
        <v>39</v>
      </c>
      <c r="C183" t="s">
        <v>40</v>
      </c>
      <c r="D183">
        <v>11630</v>
      </c>
    </row>
    <row r="184" spans="1:4" x14ac:dyDescent="0.3">
      <c r="A184" t="s">
        <v>155</v>
      </c>
      <c r="B184" t="s">
        <v>39</v>
      </c>
      <c r="C184" t="s">
        <v>40</v>
      </c>
      <c r="D184">
        <v>11966</v>
      </c>
    </row>
    <row r="185" spans="1:4" x14ac:dyDescent="0.3">
      <c r="A185" t="s">
        <v>156</v>
      </c>
      <c r="B185" t="s">
        <v>39</v>
      </c>
      <c r="C185" t="s">
        <v>40</v>
      </c>
      <c r="D185">
        <v>12220</v>
      </c>
    </row>
    <row r="186" spans="1:4" x14ac:dyDescent="0.3">
      <c r="A186" t="s">
        <v>96</v>
      </c>
      <c r="B186" t="s">
        <v>41</v>
      </c>
      <c r="C186" t="s">
        <v>40</v>
      </c>
      <c r="D186">
        <v>756</v>
      </c>
    </row>
    <row r="187" spans="1:4" x14ac:dyDescent="0.3">
      <c r="A187" t="s">
        <v>99</v>
      </c>
      <c r="B187" t="s">
        <v>41</v>
      </c>
      <c r="C187" t="s">
        <v>40</v>
      </c>
      <c r="D187">
        <v>773</v>
      </c>
    </row>
    <row r="188" spans="1:4" x14ac:dyDescent="0.3">
      <c r="A188" t="s">
        <v>102</v>
      </c>
      <c r="B188" t="s">
        <v>41</v>
      </c>
      <c r="C188" t="s">
        <v>40</v>
      </c>
      <c r="D188">
        <v>786</v>
      </c>
    </row>
    <row r="189" spans="1:4" x14ac:dyDescent="0.3">
      <c r="A189" t="s">
        <v>108</v>
      </c>
      <c r="B189" t="s">
        <v>41</v>
      </c>
      <c r="C189" t="s">
        <v>40</v>
      </c>
      <c r="D189">
        <v>870</v>
      </c>
    </row>
    <row r="190" spans="1:4" x14ac:dyDescent="0.3">
      <c r="A190" t="s">
        <v>112</v>
      </c>
      <c r="B190" t="s">
        <v>41</v>
      </c>
      <c r="C190" t="s">
        <v>40</v>
      </c>
      <c r="D190">
        <v>869</v>
      </c>
    </row>
    <row r="191" spans="1:4" x14ac:dyDescent="0.3">
      <c r="A191" t="s">
        <v>117</v>
      </c>
      <c r="B191" t="s">
        <v>41</v>
      </c>
      <c r="C191" t="s">
        <v>40</v>
      </c>
      <c r="D191">
        <v>933</v>
      </c>
    </row>
    <row r="192" spans="1:4" x14ac:dyDescent="0.3">
      <c r="A192" t="s">
        <v>121</v>
      </c>
      <c r="B192" t="s">
        <v>41</v>
      </c>
      <c r="C192" t="s">
        <v>40</v>
      </c>
      <c r="D192">
        <v>1007</v>
      </c>
    </row>
    <row r="193" spans="1:4" x14ac:dyDescent="0.3">
      <c r="A193" t="s">
        <v>124</v>
      </c>
      <c r="B193" t="s">
        <v>41</v>
      </c>
      <c r="C193" t="s">
        <v>40</v>
      </c>
      <c r="D193">
        <v>1026</v>
      </c>
    </row>
    <row r="194" spans="1:4" x14ac:dyDescent="0.3">
      <c r="A194" t="s">
        <v>126</v>
      </c>
      <c r="B194" t="s">
        <v>41</v>
      </c>
      <c r="C194" t="s">
        <v>40</v>
      </c>
      <c r="D194">
        <v>971</v>
      </c>
    </row>
    <row r="195" spans="1:4" x14ac:dyDescent="0.3">
      <c r="A195" t="s">
        <v>129</v>
      </c>
      <c r="B195" t="s">
        <v>41</v>
      </c>
      <c r="C195" t="s">
        <v>40</v>
      </c>
      <c r="D195">
        <v>1102</v>
      </c>
    </row>
    <row r="196" spans="1:4" x14ac:dyDescent="0.3">
      <c r="A196" t="s">
        <v>133</v>
      </c>
      <c r="B196" t="s">
        <v>41</v>
      </c>
      <c r="C196" t="s">
        <v>40</v>
      </c>
      <c r="D196">
        <v>1120</v>
      </c>
    </row>
    <row r="197" spans="1:4" x14ac:dyDescent="0.3">
      <c r="A197" t="s">
        <v>138</v>
      </c>
      <c r="B197" t="s">
        <v>41</v>
      </c>
      <c r="C197" t="s">
        <v>40</v>
      </c>
      <c r="D197">
        <v>1139</v>
      </c>
    </row>
    <row r="198" spans="1:4" x14ac:dyDescent="0.3">
      <c r="A198" t="s">
        <v>141</v>
      </c>
      <c r="B198" t="s">
        <v>41</v>
      </c>
      <c r="C198" t="s">
        <v>40</v>
      </c>
      <c r="D198">
        <v>1151</v>
      </c>
    </row>
    <row r="199" spans="1:4" x14ac:dyDescent="0.3">
      <c r="A199" t="s">
        <v>144</v>
      </c>
      <c r="B199" t="s">
        <v>41</v>
      </c>
      <c r="C199" t="s">
        <v>40</v>
      </c>
      <c r="D199">
        <v>1172</v>
      </c>
    </row>
    <row r="200" spans="1:4" x14ac:dyDescent="0.3">
      <c r="A200" t="s">
        <v>147</v>
      </c>
      <c r="B200" t="s">
        <v>41</v>
      </c>
      <c r="C200" t="s">
        <v>40</v>
      </c>
      <c r="D200">
        <v>1283</v>
      </c>
    </row>
    <row r="201" spans="1:4" x14ac:dyDescent="0.3">
      <c r="A201" t="s">
        <v>150</v>
      </c>
      <c r="B201" t="s">
        <v>41</v>
      </c>
      <c r="C201" t="s">
        <v>40</v>
      </c>
      <c r="D201">
        <v>1329</v>
      </c>
    </row>
    <row r="202" spans="1:4" x14ac:dyDescent="0.3">
      <c r="A202" t="s">
        <v>17</v>
      </c>
      <c r="B202" t="s">
        <v>41</v>
      </c>
      <c r="C202" t="s">
        <v>40</v>
      </c>
      <c r="D202">
        <v>1392</v>
      </c>
    </row>
    <row r="203" spans="1:4" x14ac:dyDescent="0.3">
      <c r="A203" t="s">
        <v>18</v>
      </c>
      <c r="B203" t="s">
        <v>41</v>
      </c>
      <c r="C203" t="s">
        <v>40</v>
      </c>
      <c r="D203">
        <v>1460</v>
      </c>
    </row>
    <row r="204" spans="1:4" x14ac:dyDescent="0.3">
      <c r="A204" t="s">
        <v>19</v>
      </c>
      <c r="B204" t="s">
        <v>41</v>
      </c>
      <c r="C204" t="s">
        <v>40</v>
      </c>
      <c r="D204">
        <v>1531</v>
      </c>
    </row>
    <row r="205" spans="1:4" x14ac:dyDescent="0.3">
      <c r="A205" t="s">
        <v>20</v>
      </c>
      <c r="B205" t="s">
        <v>41</v>
      </c>
      <c r="C205" t="s">
        <v>40</v>
      </c>
      <c r="D205">
        <v>1576</v>
      </c>
    </row>
    <row r="206" spans="1:4" x14ac:dyDescent="0.3">
      <c r="A206" t="s">
        <v>21</v>
      </c>
      <c r="B206" t="s">
        <v>41</v>
      </c>
      <c r="C206" t="s">
        <v>40</v>
      </c>
      <c r="D206">
        <v>1615</v>
      </c>
    </row>
    <row r="207" spans="1:4" x14ac:dyDescent="0.3">
      <c r="A207" t="s">
        <v>155</v>
      </c>
      <c r="B207" t="s">
        <v>41</v>
      </c>
      <c r="C207" t="s">
        <v>40</v>
      </c>
      <c r="D207">
        <v>1617</v>
      </c>
    </row>
    <row r="208" spans="1:4" x14ac:dyDescent="0.3">
      <c r="A208" t="s">
        <v>156</v>
      </c>
      <c r="B208" t="s">
        <v>41</v>
      </c>
      <c r="C208" t="s">
        <v>40</v>
      </c>
      <c r="D208">
        <v>1749</v>
      </c>
    </row>
    <row r="209" spans="1:4" x14ac:dyDescent="0.3">
      <c r="A209" t="s">
        <v>96</v>
      </c>
      <c r="B209" t="s">
        <v>107</v>
      </c>
      <c r="C209" t="s">
        <v>40</v>
      </c>
      <c r="D209">
        <v>1360</v>
      </c>
    </row>
    <row r="210" spans="1:4" x14ac:dyDescent="0.3">
      <c r="A210" t="s">
        <v>99</v>
      </c>
      <c r="B210" t="s">
        <v>107</v>
      </c>
      <c r="C210" t="s">
        <v>40</v>
      </c>
      <c r="D210">
        <v>1389</v>
      </c>
    </row>
    <row r="211" spans="1:4" x14ac:dyDescent="0.3">
      <c r="A211" t="s">
        <v>102</v>
      </c>
      <c r="B211" t="s">
        <v>107</v>
      </c>
      <c r="C211" t="s">
        <v>40</v>
      </c>
      <c r="D211">
        <v>1414</v>
      </c>
    </row>
    <row r="212" spans="1:4" x14ac:dyDescent="0.3">
      <c r="A212" t="s">
        <v>108</v>
      </c>
      <c r="B212" t="s">
        <v>107</v>
      </c>
      <c r="C212" t="s">
        <v>40</v>
      </c>
      <c r="D212">
        <v>1422</v>
      </c>
    </row>
    <row r="213" spans="1:4" x14ac:dyDescent="0.3">
      <c r="A213" t="s">
        <v>112</v>
      </c>
      <c r="B213" t="s">
        <v>107</v>
      </c>
      <c r="C213" t="s">
        <v>40</v>
      </c>
      <c r="D213">
        <v>1400</v>
      </c>
    </row>
    <row r="214" spans="1:4" x14ac:dyDescent="0.3">
      <c r="A214" t="s">
        <v>117</v>
      </c>
      <c r="B214" t="s">
        <v>107</v>
      </c>
      <c r="C214" t="s">
        <v>40</v>
      </c>
      <c r="D214">
        <v>1400</v>
      </c>
    </row>
    <row r="215" spans="1:4" x14ac:dyDescent="0.3">
      <c r="A215" t="s">
        <v>121</v>
      </c>
      <c r="B215" t="s">
        <v>107</v>
      </c>
      <c r="C215" t="s">
        <v>40</v>
      </c>
      <c r="D215">
        <v>1519</v>
      </c>
    </row>
    <row r="216" spans="1:4" x14ac:dyDescent="0.3">
      <c r="A216" t="s">
        <v>124</v>
      </c>
      <c r="B216" t="s">
        <v>107</v>
      </c>
      <c r="C216" t="s">
        <v>40</v>
      </c>
      <c r="D216">
        <v>1565</v>
      </c>
    </row>
    <row r="217" spans="1:4" x14ac:dyDescent="0.3">
      <c r="A217" t="s">
        <v>126</v>
      </c>
      <c r="B217" t="s">
        <v>107</v>
      </c>
      <c r="C217" t="s">
        <v>40</v>
      </c>
      <c r="D217">
        <v>1592</v>
      </c>
    </row>
    <row r="218" spans="1:4" x14ac:dyDescent="0.3">
      <c r="A218" t="s">
        <v>129</v>
      </c>
      <c r="B218" t="s">
        <v>107</v>
      </c>
      <c r="C218" t="s">
        <v>40</v>
      </c>
      <c r="D218">
        <v>1609</v>
      </c>
    </row>
    <row r="219" spans="1:4" x14ac:dyDescent="0.3">
      <c r="A219" t="s">
        <v>133</v>
      </c>
      <c r="B219" t="s">
        <v>107</v>
      </c>
      <c r="C219" t="s">
        <v>40</v>
      </c>
      <c r="D219">
        <v>1614</v>
      </c>
    </row>
    <row r="220" spans="1:4" x14ac:dyDescent="0.3">
      <c r="A220" t="s">
        <v>138</v>
      </c>
      <c r="B220" t="s">
        <v>107</v>
      </c>
      <c r="C220" t="s">
        <v>40</v>
      </c>
      <c r="D220">
        <v>1631</v>
      </c>
    </row>
    <row r="221" spans="1:4" x14ac:dyDescent="0.3">
      <c r="A221" t="s">
        <v>141</v>
      </c>
      <c r="B221" t="s">
        <v>107</v>
      </c>
      <c r="C221" t="s">
        <v>40</v>
      </c>
      <c r="D221">
        <v>1615</v>
      </c>
    </row>
    <row r="222" spans="1:4" x14ac:dyDescent="0.3">
      <c r="A222" t="s">
        <v>144</v>
      </c>
      <c r="B222" t="s">
        <v>107</v>
      </c>
      <c r="C222" t="s">
        <v>40</v>
      </c>
      <c r="D222">
        <v>1951</v>
      </c>
    </row>
    <row r="223" spans="1:4" x14ac:dyDescent="0.3">
      <c r="A223" t="s">
        <v>147</v>
      </c>
      <c r="B223" t="s">
        <v>107</v>
      </c>
      <c r="C223" t="s">
        <v>40</v>
      </c>
      <c r="D223">
        <v>2273</v>
      </c>
    </row>
    <row r="224" spans="1:4" x14ac:dyDescent="0.3">
      <c r="A224" t="s">
        <v>150</v>
      </c>
      <c r="B224" t="s">
        <v>107</v>
      </c>
      <c r="C224" t="s">
        <v>40</v>
      </c>
      <c r="D224">
        <v>2376</v>
      </c>
    </row>
    <row r="225" spans="1:4" x14ac:dyDescent="0.3">
      <c r="A225" t="s">
        <v>17</v>
      </c>
      <c r="B225" t="s">
        <v>107</v>
      </c>
      <c r="C225" t="s">
        <v>40</v>
      </c>
      <c r="D225">
        <v>2460</v>
      </c>
    </row>
    <row r="226" spans="1:4" x14ac:dyDescent="0.3">
      <c r="A226" t="s">
        <v>18</v>
      </c>
      <c r="B226" t="s">
        <v>107</v>
      </c>
      <c r="C226" t="s">
        <v>40</v>
      </c>
      <c r="D226">
        <v>2540</v>
      </c>
    </row>
    <row r="227" spans="1:4" x14ac:dyDescent="0.3">
      <c r="A227" t="s">
        <v>19</v>
      </c>
      <c r="B227" t="s">
        <v>107</v>
      </c>
      <c r="C227" t="s">
        <v>40</v>
      </c>
      <c r="D227">
        <v>2506</v>
      </c>
    </row>
    <row r="228" spans="1:4" x14ac:dyDescent="0.3">
      <c r="A228" t="s">
        <v>20</v>
      </c>
      <c r="B228" t="s">
        <v>107</v>
      </c>
      <c r="C228" t="s">
        <v>40</v>
      </c>
      <c r="D228">
        <v>2595</v>
      </c>
    </row>
    <row r="229" spans="1:4" x14ac:dyDescent="0.3">
      <c r="A229" t="s">
        <v>21</v>
      </c>
      <c r="B229" t="s">
        <v>107</v>
      </c>
      <c r="C229" t="s">
        <v>40</v>
      </c>
      <c r="D229">
        <v>2727</v>
      </c>
    </row>
    <row r="230" spans="1:4" x14ac:dyDescent="0.3">
      <c r="A230" t="s">
        <v>155</v>
      </c>
      <c r="B230" t="s">
        <v>107</v>
      </c>
      <c r="C230" t="s">
        <v>40</v>
      </c>
      <c r="D230">
        <v>2817</v>
      </c>
    </row>
    <row r="231" spans="1:4" x14ac:dyDescent="0.3">
      <c r="A231" t="s">
        <v>156</v>
      </c>
      <c r="B231" t="s">
        <v>107</v>
      </c>
      <c r="C231" t="s">
        <v>40</v>
      </c>
      <c r="D231">
        <v>2875</v>
      </c>
    </row>
    <row r="232" spans="1:4" x14ac:dyDescent="0.3">
      <c r="A232" t="s">
        <v>96</v>
      </c>
      <c r="B232" t="s">
        <v>43</v>
      </c>
      <c r="C232" t="s">
        <v>33</v>
      </c>
      <c r="D232">
        <v>940</v>
      </c>
    </row>
    <row r="233" spans="1:4" x14ac:dyDescent="0.3">
      <c r="A233" t="s">
        <v>99</v>
      </c>
      <c r="B233" t="s">
        <v>43</v>
      </c>
      <c r="C233" t="s">
        <v>33</v>
      </c>
      <c r="D233">
        <v>952</v>
      </c>
    </row>
    <row r="234" spans="1:4" x14ac:dyDescent="0.3">
      <c r="A234" t="s">
        <v>102</v>
      </c>
      <c r="B234" t="s">
        <v>43</v>
      </c>
      <c r="C234" t="s">
        <v>33</v>
      </c>
      <c r="D234">
        <v>954</v>
      </c>
    </row>
    <row r="235" spans="1:4" x14ac:dyDescent="0.3">
      <c r="A235" t="s">
        <v>108</v>
      </c>
      <c r="B235" t="s">
        <v>43</v>
      </c>
      <c r="C235" t="s">
        <v>33</v>
      </c>
      <c r="D235">
        <v>1330</v>
      </c>
    </row>
    <row r="236" spans="1:4" x14ac:dyDescent="0.3">
      <c r="A236" t="s">
        <v>112</v>
      </c>
      <c r="B236" t="s">
        <v>43</v>
      </c>
      <c r="C236" t="s">
        <v>33</v>
      </c>
      <c r="D236">
        <v>1335</v>
      </c>
    </row>
    <row r="237" spans="1:4" x14ac:dyDescent="0.3">
      <c r="A237" t="s">
        <v>117</v>
      </c>
      <c r="B237" t="s">
        <v>43</v>
      </c>
      <c r="C237" t="s">
        <v>33</v>
      </c>
      <c r="D237">
        <v>1401</v>
      </c>
    </row>
    <row r="238" spans="1:4" x14ac:dyDescent="0.3">
      <c r="A238" t="s">
        <v>121</v>
      </c>
      <c r="B238" t="s">
        <v>43</v>
      </c>
      <c r="C238" t="s">
        <v>33</v>
      </c>
      <c r="D238">
        <v>1442</v>
      </c>
    </row>
    <row r="239" spans="1:4" x14ac:dyDescent="0.3">
      <c r="A239" t="s">
        <v>124</v>
      </c>
      <c r="B239" t="s">
        <v>43</v>
      </c>
      <c r="C239" t="s">
        <v>33</v>
      </c>
      <c r="D239">
        <v>1466</v>
      </c>
    </row>
    <row r="240" spans="1:4" x14ac:dyDescent="0.3">
      <c r="A240" t="s">
        <v>126</v>
      </c>
      <c r="B240" t="s">
        <v>43</v>
      </c>
      <c r="C240" t="s">
        <v>33</v>
      </c>
      <c r="D240">
        <v>1463</v>
      </c>
    </row>
    <row r="241" spans="1:4" x14ac:dyDescent="0.3">
      <c r="A241" t="s">
        <v>129</v>
      </c>
      <c r="B241" t="s">
        <v>43</v>
      </c>
      <c r="C241" t="s">
        <v>33</v>
      </c>
      <c r="D241">
        <v>1555</v>
      </c>
    </row>
    <row r="242" spans="1:4" x14ac:dyDescent="0.3">
      <c r="A242" t="s">
        <v>133</v>
      </c>
      <c r="B242" t="s">
        <v>43</v>
      </c>
      <c r="C242" t="s">
        <v>33</v>
      </c>
      <c r="D242">
        <v>1745</v>
      </c>
    </row>
    <row r="243" spans="1:4" x14ac:dyDescent="0.3">
      <c r="A243" t="s">
        <v>138</v>
      </c>
      <c r="B243" t="s">
        <v>43</v>
      </c>
      <c r="C243" t="s">
        <v>33</v>
      </c>
      <c r="D243">
        <v>1679</v>
      </c>
    </row>
    <row r="244" spans="1:4" x14ac:dyDescent="0.3">
      <c r="A244" t="s">
        <v>141</v>
      </c>
      <c r="B244" t="s">
        <v>43</v>
      </c>
      <c r="C244" t="s">
        <v>33</v>
      </c>
      <c r="D244">
        <v>1700</v>
      </c>
    </row>
    <row r="245" spans="1:4" x14ac:dyDescent="0.3">
      <c r="A245" t="s">
        <v>144</v>
      </c>
      <c r="B245" t="s">
        <v>43</v>
      </c>
      <c r="C245" t="s">
        <v>33</v>
      </c>
      <c r="D245">
        <v>1734</v>
      </c>
    </row>
    <row r="246" spans="1:4" x14ac:dyDescent="0.3">
      <c r="A246" t="s">
        <v>147</v>
      </c>
      <c r="B246" t="s">
        <v>43</v>
      </c>
      <c r="C246" t="s">
        <v>33</v>
      </c>
      <c r="D246">
        <v>1812</v>
      </c>
    </row>
    <row r="247" spans="1:4" x14ac:dyDescent="0.3">
      <c r="A247" t="s">
        <v>150</v>
      </c>
      <c r="B247" t="s">
        <v>43</v>
      </c>
      <c r="C247" t="s">
        <v>33</v>
      </c>
      <c r="D247">
        <v>1894</v>
      </c>
    </row>
    <row r="248" spans="1:4" x14ac:dyDescent="0.3">
      <c r="A248" t="s">
        <v>17</v>
      </c>
      <c r="B248" t="s">
        <v>43</v>
      </c>
      <c r="C248" t="s">
        <v>33</v>
      </c>
      <c r="D248">
        <v>2016</v>
      </c>
    </row>
    <row r="249" spans="1:4" x14ac:dyDescent="0.3">
      <c r="A249" t="s">
        <v>18</v>
      </c>
      <c r="B249" t="s">
        <v>43</v>
      </c>
      <c r="C249" t="s">
        <v>33</v>
      </c>
      <c r="D249">
        <v>2183</v>
      </c>
    </row>
    <row r="250" spans="1:4" x14ac:dyDescent="0.3">
      <c r="A250" t="s">
        <v>19</v>
      </c>
      <c r="B250" t="s">
        <v>43</v>
      </c>
      <c r="C250" t="s">
        <v>33</v>
      </c>
      <c r="D250">
        <v>2321</v>
      </c>
    </row>
    <row r="251" spans="1:4" x14ac:dyDescent="0.3">
      <c r="A251" t="s">
        <v>20</v>
      </c>
      <c r="B251" t="s">
        <v>43</v>
      </c>
      <c r="C251" t="s">
        <v>33</v>
      </c>
      <c r="D251">
        <v>2434</v>
      </c>
    </row>
    <row r="252" spans="1:4" x14ac:dyDescent="0.3">
      <c r="A252" t="s">
        <v>21</v>
      </c>
      <c r="B252" t="s">
        <v>43</v>
      </c>
      <c r="C252" t="s">
        <v>33</v>
      </c>
      <c r="D252">
        <v>2629</v>
      </c>
    </row>
    <row r="253" spans="1:4" x14ac:dyDescent="0.3">
      <c r="A253" t="s">
        <v>155</v>
      </c>
      <c r="B253" t="s">
        <v>43</v>
      </c>
      <c r="C253" t="s">
        <v>33</v>
      </c>
      <c r="D253">
        <v>2774</v>
      </c>
    </row>
    <row r="254" spans="1:4" x14ac:dyDescent="0.3">
      <c r="A254" t="s">
        <v>156</v>
      </c>
      <c r="B254" t="s">
        <v>43</v>
      </c>
      <c r="C254" t="s">
        <v>33</v>
      </c>
      <c r="D254">
        <v>3025</v>
      </c>
    </row>
    <row r="255" spans="1:4" x14ac:dyDescent="0.3">
      <c r="A255" t="s">
        <v>96</v>
      </c>
      <c r="B255" t="s">
        <v>44</v>
      </c>
      <c r="C255" t="s">
        <v>28</v>
      </c>
      <c r="D255">
        <v>4797</v>
      </c>
    </row>
    <row r="256" spans="1:4" x14ac:dyDescent="0.3">
      <c r="A256" t="s">
        <v>99</v>
      </c>
      <c r="B256" t="s">
        <v>44</v>
      </c>
      <c r="C256" t="s">
        <v>28</v>
      </c>
      <c r="D256">
        <v>4539</v>
      </c>
    </row>
    <row r="257" spans="1:4" x14ac:dyDescent="0.3">
      <c r="A257" t="s">
        <v>102</v>
      </c>
      <c r="B257" t="s">
        <v>44</v>
      </c>
      <c r="C257" t="s">
        <v>28</v>
      </c>
      <c r="D257">
        <v>3857</v>
      </c>
    </row>
    <row r="258" spans="1:4" x14ac:dyDescent="0.3">
      <c r="A258" t="s">
        <v>108</v>
      </c>
      <c r="B258" t="s">
        <v>44</v>
      </c>
      <c r="C258" t="s">
        <v>28</v>
      </c>
      <c r="D258">
        <v>3917</v>
      </c>
    </row>
    <row r="259" spans="1:4" x14ac:dyDescent="0.3">
      <c r="A259" t="s">
        <v>112</v>
      </c>
      <c r="B259" t="s">
        <v>44</v>
      </c>
      <c r="C259" t="s">
        <v>28</v>
      </c>
      <c r="D259">
        <v>4022</v>
      </c>
    </row>
    <row r="260" spans="1:4" x14ac:dyDescent="0.3">
      <c r="A260" t="s">
        <v>117</v>
      </c>
      <c r="B260" t="s">
        <v>44</v>
      </c>
      <c r="C260" t="s">
        <v>28</v>
      </c>
      <c r="D260">
        <v>4124</v>
      </c>
    </row>
    <row r="261" spans="1:4" x14ac:dyDescent="0.3">
      <c r="A261" t="s">
        <v>121</v>
      </c>
      <c r="B261" t="s">
        <v>44</v>
      </c>
      <c r="C261" t="s">
        <v>28</v>
      </c>
      <c r="D261">
        <v>4244</v>
      </c>
    </row>
    <row r="262" spans="1:4" x14ac:dyDescent="0.3">
      <c r="A262" t="s">
        <v>124</v>
      </c>
      <c r="B262" t="s">
        <v>44</v>
      </c>
      <c r="C262" t="s">
        <v>28</v>
      </c>
      <c r="D262">
        <v>4538</v>
      </c>
    </row>
    <row r="263" spans="1:4" x14ac:dyDescent="0.3">
      <c r="A263" t="s">
        <v>126</v>
      </c>
      <c r="B263" t="s">
        <v>44</v>
      </c>
      <c r="C263" t="s">
        <v>28</v>
      </c>
      <c r="D263">
        <v>4822</v>
      </c>
    </row>
    <row r="264" spans="1:4" x14ac:dyDescent="0.3">
      <c r="A264" t="s">
        <v>129</v>
      </c>
      <c r="B264" t="s">
        <v>44</v>
      </c>
      <c r="C264" t="s">
        <v>28</v>
      </c>
      <c r="D264">
        <v>5114</v>
      </c>
    </row>
    <row r="265" spans="1:4" x14ac:dyDescent="0.3">
      <c r="A265" t="s">
        <v>133</v>
      </c>
      <c r="B265" t="s">
        <v>44</v>
      </c>
      <c r="C265" t="s">
        <v>28</v>
      </c>
      <c r="D265">
        <v>5447</v>
      </c>
    </row>
    <row r="266" spans="1:4" x14ac:dyDescent="0.3">
      <c r="A266" t="s">
        <v>138</v>
      </c>
      <c r="B266" t="s">
        <v>44</v>
      </c>
      <c r="C266" t="s">
        <v>28</v>
      </c>
      <c r="D266">
        <v>5718</v>
      </c>
    </row>
    <row r="267" spans="1:4" x14ac:dyDescent="0.3">
      <c r="A267" t="s">
        <v>141</v>
      </c>
      <c r="B267" t="s">
        <v>44</v>
      </c>
      <c r="C267" t="s">
        <v>28</v>
      </c>
      <c r="D267">
        <v>5997</v>
      </c>
    </row>
    <row r="268" spans="1:4" x14ac:dyDescent="0.3">
      <c r="A268" t="s">
        <v>144</v>
      </c>
      <c r="B268" t="s">
        <v>44</v>
      </c>
      <c r="C268" t="s">
        <v>28</v>
      </c>
      <c r="D268">
        <v>6121</v>
      </c>
    </row>
    <row r="269" spans="1:4" x14ac:dyDescent="0.3">
      <c r="A269" t="s">
        <v>147</v>
      </c>
      <c r="B269" t="s">
        <v>44</v>
      </c>
      <c r="C269" t="s">
        <v>28</v>
      </c>
      <c r="D269">
        <v>6344</v>
      </c>
    </row>
    <row r="270" spans="1:4" x14ac:dyDescent="0.3">
      <c r="A270" t="s">
        <v>150</v>
      </c>
      <c r="B270" t="s">
        <v>44</v>
      </c>
      <c r="C270" t="s">
        <v>28</v>
      </c>
      <c r="D270">
        <v>6562</v>
      </c>
    </row>
    <row r="271" spans="1:4" x14ac:dyDescent="0.3">
      <c r="A271" t="s">
        <v>17</v>
      </c>
      <c r="B271" t="s">
        <v>44</v>
      </c>
      <c r="C271" t="s">
        <v>28</v>
      </c>
      <c r="D271">
        <v>7137</v>
      </c>
    </row>
    <row r="272" spans="1:4" x14ac:dyDescent="0.3">
      <c r="A272" t="s">
        <v>18</v>
      </c>
      <c r="B272" t="s">
        <v>44</v>
      </c>
      <c r="C272" t="s">
        <v>28</v>
      </c>
      <c r="D272">
        <v>7901</v>
      </c>
    </row>
    <row r="273" spans="1:4" x14ac:dyDescent="0.3">
      <c r="A273" t="s">
        <v>19</v>
      </c>
      <c r="B273" t="s">
        <v>44</v>
      </c>
      <c r="C273" t="s">
        <v>28</v>
      </c>
      <c r="D273">
        <v>9031</v>
      </c>
    </row>
    <row r="274" spans="1:4" x14ac:dyDescent="0.3">
      <c r="A274" t="s">
        <v>20</v>
      </c>
      <c r="B274" t="s">
        <v>44</v>
      </c>
      <c r="C274" t="s">
        <v>28</v>
      </c>
      <c r="D274">
        <v>10936</v>
      </c>
    </row>
    <row r="275" spans="1:4" x14ac:dyDescent="0.3">
      <c r="A275" t="s">
        <v>21</v>
      </c>
      <c r="B275" t="s">
        <v>44</v>
      </c>
      <c r="C275" t="s">
        <v>28</v>
      </c>
      <c r="D275">
        <v>11796</v>
      </c>
    </row>
    <row r="276" spans="1:4" x14ac:dyDescent="0.3">
      <c r="A276" t="s">
        <v>155</v>
      </c>
      <c r="B276" t="s">
        <v>44</v>
      </c>
      <c r="C276" t="s">
        <v>28</v>
      </c>
      <c r="D276">
        <v>12829</v>
      </c>
    </row>
    <row r="277" spans="1:4" x14ac:dyDescent="0.3">
      <c r="A277" t="s">
        <v>156</v>
      </c>
      <c r="B277" t="s">
        <v>44</v>
      </c>
      <c r="C277" t="s">
        <v>28</v>
      </c>
      <c r="D277">
        <v>13463</v>
      </c>
    </row>
    <row r="278" spans="1:4" x14ac:dyDescent="0.3">
      <c r="A278" t="s">
        <v>96</v>
      </c>
      <c r="B278" t="s">
        <v>45</v>
      </c>
      <c r="C278" t="s">
        <v>28</v>
      </c>
      <c r="D278">
        <v>2718</v>
      </c>
    </row>
    <row r="279" spans="1:4" x14ac:dyDescent="0.3">
      <c r="A279" t="s">
        <v>99</v>
      </c>
      <c r="B279" t="s">
        <v>45</v>
      </c>
      <c r="C279" t="s">
        <v>28</v>
      </c>
      <c r="D279">
        <v>2419</v>
      </c>
    </row>
    <row r="280" spans="1:4" x14ac:dyDescent="0.3">
      <c r="A280" t="s">
        <v>102</v>
      </c>
      <c r="B280" t="s">
        <v>45</v>
      </c>
      <c r="C280" t="s">
        <v>28</v>
      </c>
      <c r="D280">
        <v>2111</v>
      </c>
    </row>
    <row r="281" spans="1:4" x14ac:dyDescent="0.3">
      <c r="A281" t="s">
        <v>108</v>
      </c>
      <c r="B281" t="s">
        <v>45</v>
      </c>
      <c r="C281" t="s">
        <v>28</v>
      </c>
      <c r="D281">
        <v>2025</v>
      </c>
    </row>
    <row r="282" spans="1:4" x14ac:dyDescent="0.3">
      <c r="A282" t="s">
        <v>112</v>
      </c>
      <c r="B282" t="s">
        <v>45</v>
      </c>
      <c r="C282" t="s">
        <v>28</v>
      </c>
      <c r="D282">
        <v>2063</v>
      </c>
    </row>
    <row r="283" spans="1:4" x14ac:dyDescent="0.3">
      <c r="A283" t="s">
        <v>117</v>
      </c>
      <c r="B283" t="s">
        <v>45</v>
      </c>
      <c r="C283" t="s">
        <v>28</v>
      </c>
      <c r="D283">
        <v>2119</v>
      </c>
    </row>
    <row r="284" spans="1:4" x14ac:dyDescent="0.3">
      <c r="A284" t="s">
        <v>121</v>
      </c>
      <c r="B284" t="s">
        <v>45</v>
      </c>
      <c r="C284" t="s">
        <v>28</v>
      </c>
      <c r="D284">
        <v>2253</v>
      </c>
    </row>
    <row r="285" spans="1:4" x14ac:dyDescent="0.3">
      <c r="A285" t="s">
        <v>124</v>
      </c>
      <c r="B285" t="s">
        <v>45</v>
      </c>
      <c r="C285" t="s">
        <v>28</v>
      </c>
      <c r="D285">
        <v>2441</v>
      </c>
    </row>
    <row r="286" spans="1:4" x14ac:dyDescent="0.3">
      <c r="A286" t="s">
        <v>126</v>
      </c>
      <c r="B286" t="s">
        <v>45</v>
      </c>
      <c r="C286" t="s">
        <v>28</v>
      </c>
      <c r="D286">
        <v>2509</v>
      </c>
    </row>
    <row r="287" spans="1:4" x14ac:dyDescent="0.3">
      <c r="A287" t="s">
        <v>129</v>
      </c>
      <c r="B287" t="s">
        <v>45</v>
      </c>
      <c r="C287" t="s">
        <v>28</v>
      </c>
      <c r="D287">
        <v>2645</v>
      </c>
    </row>
    <row r="288" spans="1:4" x14ac:dyDescent="0.3">
      <c r="A288" t="s">
        <v>133</v>
      </c>
      <c r="B288" t="s">
        <v>45</v>
      </c>
      <c r="C288" t="s">
        <v>28</v>
      </c>
      <c r="D288">
        <v>2716</v>
      </c>
    </row>
    <row r="289" spans="1:4" x14ac:dyDescent="0.3">
      <c r="A289" t="s">
        <v>138</v>
      </c>
      <c r="B289" t="s">
        <v>45</v>
      </c>
      <c r="C289" t="s">
        <v>28</v>
      </c>
      <c r="D289">
        <v>2791</v>
      </c>
    </row>
    <row r="290" spans="1:4" x14ac:dyDescent="0.3">
      <c r="A290" t="s">
        <v>141</v>
      </c>
      <c r="B290" t="s">
        <v>45</v>
      </c>
      <c r="C290" t="s">
        <v>28</v>
      </c>
      <c r="D290">
        <v>2655</v>
      </c>
    </row>
    <row r="291" spans="1:4" x14ac:dyDescent="0.3">
      <c r="A291" t="s">
        <v>144</v>
      </c>
      <c r="B291" t="s">
        <v>45</v>
      </c>
      <c r="C291" t="s">
        <v>28</v>
      </c>
      <c r="D291">
        <v>2711</v>
      </c>
    </row>
    <row r="292" spans="1:4" x14ac:dyDescent="0.3">
      <c r="A292" t="s">
        <v>147</v>
      </c>
      <c r="B292" t="s">
        <v>45</v>
      </c>
      <c r="C292" t="s">
        <v>28</v>
      </c>
      <c r="D292">
        <v>2650</v>
      </c>
    </row>
    <row r="293" spans="1:4" x14ac:dyDescent="0.3">
      <c r="A293" t="s">
        <v>150</v>
      </c>
      <c r="B293" t="s">
        <v>45</v>
      </c>
      <c r="C293" t="s">
        <v>28</v>
      </c>
      <c r="D293">
        <v>2520</v>
      </c>
    </row>
    <row r="294" spans="1:4" x14ac:dyDescent="0.3">
      <c r="A294" t="s">
        <v>17</v>
      </c>
      <c r="B294" t="s">
        <v>45</v>
      </c>
      <c r="C294" t="s">
        <v>28</v>
      </c>
      <c r="D294">
        <v>2576</v>
      </c>
    </row>
    <row r="295" spans="1:4" x14ac:dyDescent="0.3">
      <c r="A295" t="s">
        <v>18</v>
      </c>
      <c r="B295" t="s">
        <v>45</v>
      </c>
      <c r="C295" t="s">
        <v>28</v>
      </c>
      <c r="D295">
        <v>2548</v>
      </c>
    </row>
    <row r="296" spans="1:4" x14ac:dyDescent="0.3">
      <c r="A296" t="s">
        <v>19</v>
      </c>
      <c r="B296" t="s">
        <v>45</v>
      </c>
      <c r="C296" t="s">
        <v>28</v>
      </c>
      <c r="D296">
        <v>2544</v>
      </c>
    </row>
    <row r="297" spans="1:4" x14ac:dyDescent="0.3">
      <c r="A297" t="s">
        <v>20</v>
      </c>
      <c r="B297" t="s">
        <v>45</v>
      </c>
      <c r="C297" t="s">
        <v>28</v>
      </c>
      <c r="D297">
        <v>2534</v>
      </c>
    </row>
    <row r="298" spans="1:4" x14ac:dyDescent="0.3">
      <c r="A298" t="s">
        <v>21</v>
      </c>
      <c r="B298" t="s">
        <v>45</v>
      </c>
      <c r="C298" t="s">
        <v>28</v>
      </c>
      <c r="D298">
        <v>2532</v>
      </c>
    </row>
    <row r="299" spans="1:4" x14ac:dyDescent="0.3">
      <c r="A299" t="s">
        <v>155</v>
      </c>
      <c r="B299" t="s">
        <v>45</v>
      </c>
      <c r="C299" t="s">
        <v>28</v>
      </c>
      <c r="D299">
        <v>2580</v>
      </c>
    </row>
    <row r="300" spans="1:4" x14ac:dyDescent="0.3">
      <c r="A300" t="s">
        <v>156</v>
      </c>
      <c r="B300" t="s">
        <v>45</v>
      </c>
      <c r="C300" t="s">
        <v>28</v>
      </c>
      <c r="D300">
        <v>2580</v>
      </c>
    </row>
    <row r="301" spans="1:4" x14ac:dyDescent="0.3">
      <c r="A301" t="s">
        <v>96</v>
      </c>
      <c r="B301" t="s">
        <v>46</v>
      </c>
      <c r="C301" t="s">
        <v>35</v>
      </c>
      <c r="D301">
        <v>5283</v>
      </c>
    </row>
    <row r="302" spans="1:4" x14ac:dyDescent="0.3">
      <c r="A302" t="s">
        <v>99</v>
      </c>
      <c r="B302" t="s">
        <v>46</v>
      </c>
      <c r="C302" t="s">
        <v>35</v>
      </c>
      <c r="D302">
        <v>5343</v>
      </c>
    </row>
    <row r="303" spans="1:4" x14ac:dyDescent="0.3">
      <c r="A303" t="s">
        <v>102</v>
      </c>
      <c r="B303" t="s">
        <v>46</v>
      </c>
      <c r="C303" t="s">
        <v>35</v>
      </c>
      <c r="D303">
        <v>5388</v>
      </c>
    </row>
    <row r="304" spans="1:4" x14ac:dyDescent="0.3">
      <c r="A304" t="s">
        <v>108</v>
      </c>
      <c r="B304" t="s">
        <v>46</v>
      </c>
      <c r="C304" t="s">
        <v>35</v>
      </c>
      <c r="D304">
        <v>5506</v>
      </c>
    </row>
    <row r="305" spans="1:4" x14ac:dyDescent="0.3">
      <c r="A305" t="s">
        <v>112</v>
      </c>
      <c r="B305" t="s">
        <v>46</v>
      </c>
      <c r="C305" t="s">
        <v>35</v>
      </c>
      <c r="D305">
        <v>6283</v>
      </c>
    </row>
    <row r="306" spans="1:4" x14ac:dyDescent="0.3">
      <c r="A306" t="s">
        <v>117</v>
      </c>
      <c r="B306" t="s">
        <v>46</v>
      </c>
      <c r="C306" t="s">
        <v>35</v>
      </c>
      <c r="D306">
        <v>6374</v>
      </c>
    </row>
    <row r="307" spans="1:4" x14ac:dyDescent="0.3">
      <c r="A307" t="s">
        <v>121</v>
      </c>
      <c r="B307" t="s">
        <v>46</v>
      </c>
      <c r="C307" t="s">
        <v>35</v>
      </c>
      <c r="D307">
        <v>6572</v>
      </c>
    </row>
    <row r="308" spans="1:4" x14ac:dyDescent="0.3">
      <c r="A308" t="s">
        <v>124</v>
      </c>
      <c r="B308" t="s">
        <v>46</v>
      </c>
      <c r="C308" t="s">
        <v>35</v>
      </c>
      <c r="D308">
        <v>6855</v>
      </c>
    </row>
    <row r="309" spans="1:4" x14ac:dyDescent="0.3">
      <c r="A309" t="s">
        <v>126</v>
      </c>
      <c r="B309" t="s">
        <v>46</v>
      </c>
      <c r="C309" t="s">
        <v>35</v>
      </c>
      <c r="D309">
        <v>7167</v>
      </c>
    </row>
    <row r="310" spans="1:4" x14ac:dyDescent="0.3">
      <c r="A310" t="s">
        <v>129</v>
      </c>
      <c r="B310" t="s">
        <v>46</v>
      </c>
      <c r="C310" t="s">
        <v>35</v>
      </c>
      <c r="D310">
        <v>7514</v>
      </c>
    </row>
    <row r="311" spans="1:4" x14ac:dyDescent="0.3">
      <c r="A311" t="s">
        <v>133</v>
      </c>
      <c r="B311" t="s">
        <v>46</v>
      </c>
      <c r="C311" t="s">
        <v>35</v>
      </c>
      <c r="D311">
        <v>8149</v>
      </c>
    </row>
    <row r="312" spans="1:4" x14ac:dyDescent="0.3">
      <c r="A312" t="s">
        <v>138</v>
      </c>
      <c r="B312" t="s">
        <v>46</v>
      </c>
      <c r="C312" t="s">
        <v>35</v>
      </c>
      <c r="D312">
        <v>8838</v>
      </c>
    </row>
    <row r="313" spans="1:4" x14ac:dyDescent="0.3">
      <c r="A313" t="s">
        <v>141</v>
      </c>
      <c r="B313" t="s">
        <v>46</v>
      </c>
      <c r="C313" t="s">
        <v>35</v>
      </c>
      <c r="D313">
        <v>9599</v>
      </c>
    </row>
    <row r="314" spans="1:4" x14ac:dyDescent="0.3">
      <c r="A314" t="s">
        <v>144</v>
      </c>
      <c r="B314" t="s">
        <v>46</v>
      </c>
      <c r="C314" t="s">
        <v>35</v>
      </c>
      <c r="D314">
        <v>10779</v>
      </c>
    </row>
    <row r="315" spans="1:4" x14ac:dyDescent="0.3">
      <c r="A315" t="s">
        <v>147</v>
      </c>
      <c r="B315" t="s">
        <v>46</v>
      </c>
      <c r="C315" t="s">
        <v>35</v>
      </c>
      <c r="D315">
        <v>12148</v>
      </c>
    </row>
    <row r="316" spans="1:4" x14ac:dyDescent="0.3">
      <c r="A316" t="s">
        <v>150</v>
      </c>
      <c r="B316" t="s">
        <v>46</v>
      </c>
      <c r="C316" t="s">
        <v>35</v>
      </c>
      <c r="D316">
        <v>13445</v>
      </c>
    </row>
    <row r="317" spans="1:4" x14ac:dyDescent="0.3">
      <c r="A317" t="s">
        <v>17</v>
      </c>
      <c r="B317" t="s">
        <v>46</v>
      </c>
      <c r="C317" t="s">
        <v>35</v>
      </c>
      <c r="D317">
        <v>14713</v>
      </c>
    </row>
    <row r="318" spans="1:4" x14ac:dyDescent="0.3">
      <c r="A318" t="s">
        <v>18</v>
      </c>
      <c r="B318" t="s">
        <v>46</v>
      </c>
      <c r="C318" t="s">
        <v>35</v>
      </c>
      <c r="D318">
        <v>15911</v>
      </c>
    </row>
    <row r="319" spans="1:4" x14ac:dyDescent="0.3">
      <c r="A319" t="s">
        <v>19</v>
      </c>
      <c r="B319" t="s">
        <v>46</v>
      </c>
      <c r="C319" t="s">
        <v>35</v>
      </c>
      <c r="D319">
        <v>17109</v>
      </c>
    </row>
    <row r="320" spans="1:4" x14ac:dyDescent="0.3">
      <c r="A320" t="s">
        <v>20</v>
      </c>
      <c r="B320" t="s">
        <v>46</v>
      </c>
      <c r="C320" t="s">
        <v>35</v>
      </c>
      <c r="D320">
        <v>17999</v>
      </c>
    </row>
    <row r="321" spans="1:4" x14ac:dyDescent="0.3">
      <c r="A321" t="s">
        <v>21</v>
      </c>
      <c r="B321" t="s">
        <v>46</v>
      </c>
      <c r="C321" t="s">
        <v>35</v>
      </c>
      <c r="D321">
        <v>19004</v>
      </c>
    </row>
    <row r="322" spans="1:4" x14ac:dyDescent="0.3">
      <c r="A322" t="s">
        <v>155</v>
      </c>
      <c r="B322" t="s">
        <v>46</v>
      </c>
      <c r="C322" t="s">
        <v>35</v>
      </c>
      <c r="D322">
        <v>20122</v>
      </c>
    </row>
    <row r="323" spans="1:4" x14ac:dyDescent="0.3">
      <c r="A323" t="s">
        <v>156</v>
      </c>
      <c r="B323" t="s">
        <v>46</v>
      </c>
      <c r="C323" t="s">
        <v>35</v>
      </c>
      <c r="D323">
        <v>21326</v>
      </c>
    </row>
    <row r="324" spans="1:4" x14ac:dyDescent="0.3">
      <c r="A324" t="s">
        <v>96</v>
      </c>
      <c r="B324" t="s">
        <v>47</v>
      </c>
      <c r="C324" t="s">
        <v>37</v>
      </c>
      <c r="D324">
        <v>6094</v>
      </c>
    </row>
    <row r="325" spans="1:4" x14ac:dyDescent="0.3">
      <c r="A325" t="s">
        <v>99</v>
      </c>
      <c r="B325" t="s">
        <v>47</v>
      </c>
      <c r="C325" t="s">
        <v>37</v>
      </c>
      <c r="D325">
        <v>6238</v>
      </c>
    </row>
    <row r="326" spans="1:4" x14ac:dyDescent="0.3">
      <c r="A326" t="s">
        <v>102</v>
      </c>
      <c r="B326" t="s">
        <v>47</v>
      </c>
      <c r="C326" t="s">
        <v>37</v>
      </c>
      <c r="D326">
        <v>6379</v>
      </c>
    </row>
    <row r="327" spans="1:4" x14ac:dyDescent="0.3">
      <c r="A327" t="s">
        <v>108</v>
      </c>
      <c r="B327" t="s">
        <v>47</v>
      </c>
      <c r="C327" t="s">
        <v>37</v>
      </c>
      <c r="D327">
        <v>6567</v>
      </c>
    </row>
    <row r="328" spans="1:4" x14ac:dyDescent="0.3">
      <c r="A328" t="s">
        <v>112</v>
      </c>
      <c r="B328" t="s">
        <v>47</v>
      </c>
      <c r="C328" t="s">
        <v>37</v>
      </c>
      <c r="D328">
        <v>6769</v>
      </c>
    </row>
    <row r="329" spans="1:4" x14ac:dyDescent="0.3">
      <c r="A329" t="s">
        <v>117</v>
      </c>
      <c r="B329" t="s">
        <v>47</v>
      </c>
      <c r="C329" t="s">
        <v>37</v>
      </c>
      <c r="D329">
        <v>6978</v>
      </c>
    </row>
    <row r="330" spans="1:4" x14ac:dyDescent="0.3">
      <c r="A330" t="s">
        <v>121</v>
      </c>
      <c r="B330" t="s">
        <v>47</v>
      </c>
      <c r="C330" t="s">
        <v>37</v>
      </c>
      <c r="D330">
        <v>7210</v>
      </c>
    </row>
    <row r="331" spans="1:4" x14ac:dyDescent="0.3">
      <c r="A331" t="s">
        <v>124</v>
      </c>
      <c r="B331" t="s">
        <v>47</v>
      </c>
      <c r="C331" t="s">
        <v>37</v>
      </c>
      <c r="D331">
        <v>7455</v>
      </c>
    </row>
    <row r="332" spans="1:4" x14ac:dyDescent="0.3">
      <c r="A332" t="s">
        <v>126</v>
      </c>
      <c r="B332" t="s">
        <v>47</v>
      </c>
      <c r="C332" t="s">
        <v>37</v>
      </c>
      <c r="D332">
        <v>7679</v>
      </c>
    </row>
    <row r="333" spans="1:4" x14ac:dyDescent="0.3">
      <c r="A333" t="s">
        <v>129</v>
      </c>
      <c r="B333" t="s">
        <v>47</v>
      </c>
      <c r="C333" t="s">
        <v>37</v>
      </c>
      <c r="D333">
        <v>8044</v>
      </c>
    </row>
    <row r="334" spans="1:4" x14ac:dyDescent="0.3">
      <c r="A334" t="s">
        <v>133</v>
      </c>
      <c r="B334" t="s">
        <v>47</v>
      </c>
      <c r="C334" t="s">
        <v>37</v>
      </c>
      <c r="D334">
        <v>8469</v>
      </c>
    </row>
    <row r="335" spans="1:4" x14ac:dyDescent="0.3">
      <c r="A335" t="s">
        <v>138</v>
      </c>
      <c r="B335" t="s">
        <v>47</v>
      </c>
      <c r="C335" t="s">
        <v>37</v>
      </c>
      <c r="D335">
        <v>8734</v>
      </c>
    </row>
    <row r="336" spans="1:4" x14ac:dyDescent="0.3">
      <c r="A336" t="s">
        <v>141</v>
      </c>
      <c r="B336" t="s">
        <v>47</v>
      </c>
      <c r="C336" t="s">
        <v>37</v>
      </c>
      <c r="D336">
        <v>9089</v>
      </c>
    </row>
    <row r="337" spans="1:4" x14ac:dyDescent="0.3">
      <c r="A337" t="s">
        <v>144</v>
      </c>
      <c r="B337" t="s">
        <v>47</v>
      </c>
      <c r="C337" t="s">
        <v>37</v>
      </c>
      <c r="D337">
        <v>9542</v>
      </c>
    </row>
    <row r="338" spans="1:4" x14ac:dyDescent="0.3">
      <c r="A338" t="s">
        <v>147</v>
      </c>
      <c r="B338" t="s">
        <v>47</v>
      </c>
      <c r="C338" t="s">
        <v>37</v>
      </c>
      <c r="D338">
        <v>10153</v>
      </c>
    </row>
    <row r="339" spans="1:4" x14ac:dyDescent="0.3">
      <c r="A339" t="s">
        <v>150</v>
      </c>
      <c r="B339" t="s">
        <v>47</v>
      </c>
      <c r="C339" t="s">
        <v>37</v>
      </c>
      <c r="D339">
        <v>10402</v>
      </c>
    </row>
    <row r="340" spans="1:4" x14ac:dyDescent="0.3">
      <c r="A340" t="s">
        <v>17</v>
      </c>
      <c r="B340" t="s">
        <v>47</v>
      </c>
      <c r="C340" t="s">
        <v>37</v>
      </c>
      <c r="D340">
        <v>11102</v>
      </c>
    </row>
    <row r="341" spans="1:4" x14ac:dyDescent="0.3">
      <c r="A341" t="s">
        <v>18</v>
      </c>
      <c r="B341" t="s">
        <v>47</v>
      </c>
      <c r="C341" t="s">
        <v>37</v>
      </c>
      <c r="D341">
        <v>11655</v>
      </c>
    </row>
    <row r="342" spans="1:4" x14ac:dyDescent="0.3">
      <c r="A342" t="s">
        <v>19</v>
      </c>
      <c r="B342" t="s">
        <v>47</v>
      </c>
      <c r="C342" t="s">
        <v>37</v>
      </c>
      <c r="D342">
        <v>12024</v>
      </c>
    </row>
    <row r="343" spans="1:4" x14ac:dyDescent="0.3">
      <c r="A343" t="s">
        <v>20</v>
      </c>
      <c r="B343" t="s">
        <v>47</v>
      </c>
      <c r="C343" t="s">
        <v>37</v>
      </c>
      <c r="D343">
        <v>13703</v>
      </c>
    </row>
    <row r="344" spans="1:4" x14ac:dyDescent="0.3">
      <c r="A344" t="s">
        <v>21</v>
      </c>
      <c r="B344" t="s">
        <v>47</v>
      </c>
      <c r="C344" t="s">
        <v>37</v>
      </c>
      <c r="D344">
        <v>14305</v>
      </c>
    </row>
    <row r="345" spans="1:4" x14ac:dyDescent="0.3">
      <c r="A345" t="s">
        <v>155</v>
      </c>
      <c r="B345" t="s">
        <v>47</v>
      </c>
      <c r="C345" t="s">
        <v>37</v>
      </c>
      <c r="D345">
        <v>15042</v>
      </c>
    </row>
    <row r="346" spans="1:4" x14ac:dyDescent="0.3">
      <c r="A346" t="s">
        <v>156</v>
      </c>
      <c r="B346" t="s">
        <v>47</v>
      </c>
      <c r="C346" t="s">
        <v>37</v>
      </c>
      <c r="D346">
        <v>16045</v>
      </c>
    </row>
    <row r="347" spans="1:4" x14ac:dyDescent="0.3">
      <c r="A347" t="s">
        <v>96</v>
      </c>
      <c r="B347" t="s">
        <v>48</v>
      </c>
      <c r="C347" t="s">
        <v>104</v>
      </c>
      <c r="D347">
        <v>68</v>
      </c>
    </row>
    <row r="348" spans="1:4" x14ac:dyDescent="0.3">
      <c r="A348" t="s">
        <v>99</v>
      </c>
      <c r="B348" t="s">
        <v>48</v>
      </c>
      <c r="C348" t="s">
        <v>104</v>
      </c>
      <c r="D348">
        <v>69</v>
      </c>
    </row>
    <row r="349" spans="1:4" x14ac:dyDescent="0.3">
      <c r="A349" t="s">
        <v>102</v>
      </c>
      <c r="B349" t="s">
        <v>48</v>
      </c>
      <c r="C349" t="s">
        <v>104</v>
      </c>
      <c r="D349">
        <v>71</v>
      </c>
    </row>
    <row r="350" spans="1:4" x14ac:dyDescent="0.3">
      <c r="A350" t="s">
        <v>108</v>
      </c>
      <c r="B350" t="s">
        <v>48</v>
      </c>
      <c r="C350" t="s">
        <v>104</v>
      </c>
      <c r="D350">
        <v>75</v>
      </c>
    </row>
    <row r="351" spans="1:4" x14ac:dyDescent="0.3">
      <c r="A351" t="s">
        <v>112</v>
      </c>
      <c r="B351" t="s">
        <v>48</v>
      </c>
      <c r="C351" t="s">
        <v>104</v>
      </c>
      <c r="D351">
        <v>77</v>
      </c>
    </row>
    <row r="352" spans="1:4" x14ac:dyDescent="0.3">
      <c r="A352" t="s">
        <v>117</v>
      </c>
      <c r="B352" t="s">
        <v>48</v>
      </c>
      <c r="C352" t="s">
        <v>104</v>
      </c>
      <c r="D352">
        <v>77</v>
      </c>
    </row>
    <row r="353" spans="1:4" x14ac:dyDescent="0.3">
      <c r="A353" t="s">
        <v>121</v>
      </c>
      <c r="B353" t="s">
        <v>48</v>
      </c>
      <c r="C353" t="s">
        <v>104</v>
      </c>
      <c r="D353">
        <v>78</v>
      </c>
    </row>
    <row r="354" spans="1:4" x14ac:dyDescent="0.3">
      <c r="A354" t="s">
        <v>124</v>
      </c>
      <c r="B354" t="s">
        <v>48</v>
      </c>
      <c r="C354" t="s">
        <v>104</v>
      </c>
      <c r="D354">
        <v>78</v>
      </c>
    </row>
    <row r="355" spans="1:4" x14ac:dyDescent="0.3">
      <c r="A355" t="s">
        <v>126</v>
      </c>
      <c r="B355" t="s">
        <v>48</v>
      </c>
      <c r="C355" t="s">
        <v>104</v>
      </c>
      <c r="D355">
        <v>78</v>
      </c>
    </row>
    <row r="356" spans="1:4" x14ac:dyDescent="0.3">
      <c r="A356" t="s">
        <v>129</v>
      </c>
      <c r="B356" t="s">
        <v>48</v>
      </c>
      <c r="C356" t="s">
        <v>104</v>
      </c>
      <c r="D356">
        <v>78</v>
      </c>
    </row>
    <row r="357" spans="1:4" x14ac:dyDescent="0.3">
      <c r="A357" t="s">
        <v>133</v>
      </c>
      <c r="B357" t="s">
        <v>48</v>
      </c>
      <c r="C357" t="s">
        <v>104</v>
      </c>
      <c r="D357">
        <v>79</v>
      </c>
    </row>
    <row r="358" spans="1:4" x14ac:dyDescent="0.3">
      <c r="A358" t="s">
        <v>138</v>
      </c>
      <c r="B358" t="s">
        <v>48</v>
      </c>
      <c r="C358" t="s">
        <v>104</v>
      </c>
      <c r="D358">
        <v>80</v>
      </c>
    </row>
    <row r="359" spans="1:4" x14ac:dyDescent="0.3">
      <c r="A359" t="s">
        <v>141</v>
      </c>
      <c r="B359" t="s">
        <v>48</v>
      </c>
      <c r="C359" t="s">
        <v>104</v>
      </c>
      <c r="D359">
        <v>82</v>
      </c>
    </row>
    <row r="360" spans="1:4" x14ac:dyDescent="0.3">
      <c r="A360" t="s">
        <v>144</v>
      </c>
      <c r="B360" t="s">
        <v>48</v>
      </c>
      <c r="C360" t="s">
        <v>104</v>
      </c>
      <c r="D360">
        <v>82</v>
      </c>
    </row>
    <row r="361" spans="1:4" x14ac:dyDescent="0.3">
      <c r="A361" t="s">
        <v>147</v>
      </c>
      <c r="B361" t="s">
        <v>48</v>
      </c>
      <c r="C361" t="s">
        <v>104</v>
      </c>
      <c r="D361">
        <v>79</v>
      </c>
    </row>
    <row r="362" spans="1:4" x14ac:dyDescent="0.3">
      <c r="A362" t="s">
        <v>150</v>
      </c>
      <c r="B362" t="s">
        <v>48</v>
      </c>
      <c r="C362" t="s">
        <v>104</v>
      </c>
      <c r="D362">
        <v>79</v>
      </c>
    </row>
    <row r="363" spans="1:4" x14ac:dyDescent="0.3">
      <c r="A363" t="s">
        <v>17</v>
      </c>
      <c r="B363" t="s">
        <v>48</v>
      </c>
      <c r="C363" t="s">
        <v>104</v>
      </c>
      <c r="D363">
        <v>82</v>
      </c>
    </row>
    <row r="364" spans="1:4" x14ac:dyDescent="0.3">
      <c r="A364" t="s">
        <v>18</v>
      </c>
      <c r="B364" t="s">
        <v>48</v>
      </c>
      <c r="C364" t="s">
        <v>104</v>
      </c>
      <c r="D364">
        <v>86</v>
      </c>
    </row>
    <row r="365" spans="1:4" x14ac:dyDescent="0.3">
      <c r="A365" t="s">
        <v>19</v>
      </c>
      <c r="B365" t="s">
        <v>48</v>
      </c>
      <c r="C365" t="s">
        <v>104</v>
      </c>
      <c r="D365">
        <v>90</v>
      </c>
    </row>
    <row r="366" spans="1:4" x14ac:dyDescent="0.3">
      <c r="A366" t="s">
        <v>20</v>
      </c>
      <c r="B366" t="s">
        <v>48</v>
      </c>
      <c r="C366" t="s">
        <v>104</v>
      </c>
      <c r="D366">
        <v>71</v>
      </c>
    </row>
    <row r="367" spans="1:4" x14ac:dyDescent="0.3">
      <c r="A367" t="s">
        <v>21</v>
      </c>
      <c r="B367" t="s">
        <v>48</v>
      </c>
      <c r="C367" t="s">
        <v>104</v>
      </c>
      <c r="D367">
        <v>76</v>
      </c>
    </row>
    <row r="368" spans="1:4" x14ac:dyDescent="0.3">
      <c r="A368" t="s">
        <v>155</v>
      </c>
      <c r="B368" t="s">
        <v>48</v>
      </c>
      <c r="C368" t="s">
        <v>104</v>
      </c>
      <c r="D368">
        <v>72</v>
      </c>
    </row>
    <row r="369" spans="1:4" x14ac:dyDescent="0.3">
      <c r="A369" t="s">
        <v>156</v>
      </c>
      <c r="B369" t="s">
        <v>48</v>
      </c>
      <c r="C369" t="s">
        <v>104</v>
      </c>
      <c r="D369">
        <v>63</v>
      </c>
    </row>
    <row r="370" spans="1:4" x14ac:dyDescent="0.3">
      <c r="A370" t="s">
        <v>96</v>
      </c>
      <c r="B370" t="s">
        <v>49</v>
      </c>
      <c r="C370" t="s">
        <v>104</v>
      </c>
      <c r="D370">
        <v>66</v>
      </c>
    </row>
    <row r="371" spans="1:4" x14ac:dyDescent="0.3">
      <c r="A371" t="s">
        <v>99</v>
      </c>
      <c r="B371" t="s">
        <v>49</v>
      </c>
      <c r="C371" t="s">
        <v>104</v>
      </c>
      <c r="D371">
        <v>68</v>
      </c>
    </row>
    <row r="372" spans="1:4" x14ac:dyDescent="0.3">
      <c r="A372" t="s">
        <v>102</v>
      </c>
      <c r="B372" t="s">
        <v>49</v>
      </c>
      <c r="C372" t="s">
        <v>104</v>
      </c>
      <c r="D372">
        <v>69</v>
      </c>
    </row>
    <row r="373" spans="1:4" x14ac:dyDescent="0.3">
      <c r="A373" t="s">
        <v>108</v>
      </c>
      <c r="B373" t="s">
        <v>49</v>
      </c>
      <c r="C373" t="s">
        <v>104</v>
      </c>
      <c r="D373">
        <v>71</v>
      </c>
    </row>
    <row r="374" spans="1:4" x14ac:dyDescent="0.3">
      <c r="A374" t="s">
        <v>112</v>
      </c>
      <c r="B374" t="s">
        <v>49</v>
      </c>
      <c r="C374" t="s">
        <v>104</v>
      </c>
      <c r="D374">
        <v>73</v>
      </c>
    </row>
    <row r="375" spans="1:4" x14ac:dyDescent="0.3">
      <c r="A375" t="s">
        <v>117</v>
      </c>
      <c r="B375" t="s">
        <v>49</v>
      </c>
      <c r="C375" t="s">
        <v>104</v>
      </c>
      <c r="D375">
        <v>74</v>
      </c>
    </row>
    <row r="376" spans="1:4" x14ac:dyDescent="0.3">
      <c r="A376" t="s">
        <v>121</v>
      </c>
      <c r="B376" t="s">
        <v>49</v>
      </c>
      <c r="C376" t="s">
        <v>104</v>
      </c>
      <c r="D376">
        <v>77</v>
      </c>
    </row>
    <row r="377" spans="1:4" x14ac:dyDescent="0.3">
      <c r="A377" t="s">
        <v>124</v>
      </c>
      <c r="B377" t="s">
        <v>49</v>
      </c>
      <c r="C377" t="s">
        <v>104</v>
      </c>
      <c r="D377">
        <v>77</v>
      </c>
    </row>
    <row r="378" spans="1:4" x14ac:dyDescent="0.3">
      <c r="A378" t="s">
        <v>126</v>
      </c>
      <c r="B378" t="s">
        <v>49</v>
      </c>
      <c r="C378" t="s">
        <v>104</v>
      </c>
      <c r="D378">
        <v>78</v>
      </c>
    </row>
    <row r="379" spans="1:4" x14ac:dyDescent="0.3">
      <c r="A379" t="s">
        <v>129</v>
      </c>
      <c r="B379" t="s">
        <v>49</v>
      </c>
      <c r="C379" t="s">
        <v>104</v>
      </c>
      <c r="D379">
        <v>79</v>
      </c>
    </row>
    <row r="380" spans="1:4" x14ac:dyDescent="0.3">
      <c r="A380" t="s">
        <v>133</v>
      </c>
      <c r="B380" t="s">
        <v>49</v>
      </c>
      <c r="C380" t="s">
        <v>104</v>
      </c>
      <c r="D380">
        <v>80</v>
      </c>
    </row>
    <row r="381" spans="1:4" x14ac:dyDescent="0.3">
      <c r="A381" t="s">
        <v>138</v>
      </c>
      <c r="B381" t="s">
        <v>49</v>
      </c>
      <c r="C381" t="s">
        <v>104</v>
      </c>
      <c r="D381">
        <v>81</v>
      </c>
    </row>
    <row r="382" spans="1:4" x14ac:dyDescent="0.3">
      <c r="A382" t="s">
        <v>141</v>
      </c>
      <c r="B382" t="s">
        <v>49</v>
      </c>
      <c r="C382" t="s">
        <v>104</v>
      </c>
      <c r="D382">
        <v>82</v>
      </c>
    </row>
    <row r="383" spans="1:4" x14ac:dyDescent="0.3">
      <c r="A383" t="s">
        <v>144</v>
      </c>
      <c r="B383" t="s">
        <v>49</v>
      </c>
      <c r="C383" t="s">
        <v>104</v>
      </c>
      <c r="D383">
        <v>83</v>
      </c>
    </row>
    <row r="384" spans="1:4" x14ac:dyDescent="0.3">
      <c r="A384" t="s">
        <v>147</v>
      </c>
      <c r="B384" t="s">
        <v>49</v>
      </c>
      <c r="C384" t="s">
        <v>104</v>
      </c>
      <c r="D384">
        <v>84</v>
      </c>
    </row>
    <row r="385" spans="1:4" x14ac:dyDescent="0.3">
      <c r="A385" t="s">
        <v>150</v>
      </c>
      <c r="B385" t="s">
        <v>49</v>
      </c>
      <c r="C385" t="s">
        <v>104</v>
      </c>
      <c r="D385">
        <v>84</v>
      </c>
    </row>
    <row r="386" spans="1:4" x14ac:dyDescent="0.3">
      <c r="A386" t="s">
        <v>17</v>
      </c>
      <c r="B386" t="s">
        <v>49</v>
      </c>
      <c r="C386" t="s">
        <v>104</v>
      </c>
      <c r="D386">
        <v>85</v>
      </c>
    </row>
    <row r="387" spans="1:4" x14ac:dyDescent="0.3">
      <c r="A387" t="s">
        <v>18</v>
      </c>
      <c r="B387" t="s">
        <v>49</v>
      </c>
      <c r="C387" t="s">
        <v>104</v>
      </c>
      <c r="D387">
        <v>87</v>
      </c>
    </row>
    <row r="388" spans="1:4" x14ac:dyDescent="0.3">
      <c r="A388" t="s">
        <v>19</v>
      </c>
      <c r="B388" t="s">
        <v>49</v>
      </c>
      <c r="C388" t="s">
        <v>104</v>
      </c>
      <c r="D388">
        <v>88</v>
      </c>
    </row>
    <row r="389" spans="1:4" x14ac:dyDescent="0.3">
      <c r="A389" t="s">
        <v>20</v>
      </c>
      <c r="B389" t="s">
        <v>49</v>
      </c>
      <c r="C389" t="s">
        <v>104</v>
      </c>
      <c r="D389">
        <v>89</v>
      </c>
    </row>
    <row r="390" spans="1:4" x14ac:dyDescent="0.3">
      <c r="A390" t="s">
        <v>21</v>
      </c>
      <c r="B390" t="s">
        <v>49</v>
      </c>
      <c r="C390" t="s">
        <v>104</v>
      </c>
      <c r="D390">
        <v>90</v>
      </c>
    </row>
    <row r="391" spans="1:4" x14ac:dyDescent="0.3">
      <c r="A391" t="s">
        <v>155</v>
      </c>
      <c r="B391" t="s">
        <v>49</v>
      </c>
      <c r="C391" t="s">
        <v>104</v>
      </c>
      <c r="D391">
        <v>94</v>
      </c>
    </row>
    <row r="392" spans="1:4" x14ac:dyDescent="0.3">
      <c r="A392" t="s">
        <v>156</v>
      </c>
      <c r="B392" t="s">
        <v>49</v>
      </c>
      <c r="C392" t="s">
        <v>104</v>
      </c>
      <c r="D392">
        <v>97</v>
      </c>
    </row>
    <row r="393" spans="1:4" x14ac:dyDescent="0.3">
      <c r="A393" t="s">
        <v>96</v>
      </c>
      <c r="B393" t="s">
        <v>50</v>
      </c>
      <c r="C393" t="s">
        <v>104</v>
      </c>
      <c r="D393">
        <v>14</v>
      </c>
    </row>
    <row r="394" spans="1:4" x14ac:dyDescent="0.3">
      <c r="A394" t="s">
        <v>99</v>
      </c>
      <c r="B394" t="s">
        <v>50</v>
      </c>
      <c r="C394" t="s">
        <v>104</v>
      </c>
      <c r="D394">
        <v>15</v>
      </c>
    </row>
    <row r="395" spans="1:4" x14ac:dyDescent="0.3">
      <c r="A395" t="s">
        <v>102</v>
      </c>
      <c r="B395" t="s">
        <v>50</v>
      </c>
      <c r="C395" t="s">
        <v>104</v>
      </c>
      <c r="D395">
        <v>15</v>
      </c>
    </row>
    <row r="396" spans="1:4" x14ac:dyDescent="0.3">
      <c r="A396" t="s">
        <v>108</v>
      </c>
      <c r="B396" t="s">
        <v>50</v>
      </c>
      <c r="C396" t="s">
        <v>104</v>
      </c>
      <c r="D396">
        <v>16</v>
      </c>
    </row>
    <row r="397" spans="1:4" x14ac:dyDescent="0.3">
      <c r="A397" t="s">
        <v>112</v>
      </c>
      <c r="B397" t="s">
        <v>50</v>
      </c>
      <c r="C397" t="s">
        <v>104</v>
      </c>
      <c r="D397">
        <v>15</v>
      </c>
    </row>
    <row r="398" spans="1:4" x14ac:dyDescent="0.3">
      <c r="A398" t="s">
        <v>117</v>
      </c>
      <c r="B398" t="s">
        <v>50</v>
      </c>
      <c r="C398" t="s">
        <v>104</v>
      </c>
      <c r="D398">
        <v>16</v>
      </c>
    </row>
    <row r="399" spans="1:4" x14ac:dyDescent="0.3">
      <c r="A399" t="s">
        <v>121</v>
      </c>
      <c r="B399" t="s">
        <v>50</v>
      </c>
      <c r="C399" t="s">
        <v>104</v>
      </c>
      <c r="D399">
        <v>17</v>
      </c>
    </row>
    <row r="400" spans="1:4" x14ac:dyDescent="0.3">
      <c r="A400" t="s">
        <v>124</v>
      </c>
      <c r="B400" t="s">
        <v>50</v>
      </c>
      <c r="C400" t="s">
        <v>104</v>
      </c>
      <c r="D400">
        <v>17</v>
      </c>
    </row>
    <row r="401" spans="1:4" x14ac:dyDescent="0.3">
      <c r="A401" t="s">
        <v>126</v>
      </c>
      <c r="B401" t="s">
        <v>50</v>
      </c>
      <c r="C401" t="s">
        <v>104</v>
      </c>
      <c r="D401">
        <v>11</v>
      </c>
    </row>
    <row r="402" spans="1:4" x14ac:dyDescent="0.3">
      <c r="A402" t="s">
        <v>129</v>
      </c>
      <c r="B402" t="s">
        <v>50</v>
      </c>
      <c r="C402" t="s">
        <v>104</v>
      </c>
      <c r="D402">
        <v>11</v>
      </c>
    </row>
    <row r="403" spans="1:4" x14ac:dyDescent="0.3">
      <c r="A403" t="s">
        <v>133</v>
      </c>
      <c r="B403" t="s">
        <v>50</v>
      </c>
      <c r="C403" t="s">
        <v>104</v>
      </c>
      <c r="D403">
        <v>14</v>
      </c>
    </row>
    <row r="404" spans="1:4" x14ac:dyDescent="0.3">
      <c r="A404" t="s">
        <v>138</v>
      </c>
      <c r="B404" t="s">
        <v>50</v>
      </c>
      <c r="C404" t="s">
        <v>104</v>
      </c>
      <c r="D404">
        <v>14</v>
      </c>
    </row>
    <row r="405" spans="1:4" x14ac:dyDescent="0.3">
      <c r="A405" t="s">
        <v>141</v>
      </c>
      <c r="B405" t="s">
        <v>50</v>
      </c>
      <c r="C405" t="s">
        <v>104</v>
      </c>
      <c r="D405">
        <v>15</v>
      </c>
    </row>
    <row r="406" spans="1:4" x14ac:dyDescent="0.3">
      <c r="A406" t="s">
        <v>144</v>
      </c>
      <c r="B406" t="s">
        <v>50</v>
      </c>
      <c r="C406" t="s">
        <v>104</v>
      </c>
      <c r="D406">
        <v>20</v>
      </c>
    </row>
    <row r="407" spans="1:4" x14ac:dyDescent="0.3">
      <c r="A407" t="s">
        <v>147</v>
      </c>
      <c r="B407" t="s">
        <v>50</v>
      </c>
      <c r="C407" t="s">
        <v>104</v>
      </c>
      <c r="D407">
        <v>22</v>
      </c>
    </row>
    <row r="408" spans="1:4" x14ac:dyDescent="0.3">
      <c r="A408" t="s">
        <v>150</v>
      </c>
      <c r="B408" t="s">
        <v>50</v>
      </c>
      <c r="C408" t="s">
        <v>104</v>
      </c>
      <c r="D408">
        <v>24</v>
      </c>
    </row>
    <row r="409" spans="1:4" x14ac:dyDescent="0.3">
      <c r="A409" t="s">
        <v>17</v>
      </c>
      <c r="B409" t="s">
        <v>50</v>
      </c>
      <c r="C409" t="s">
        <v>104</v>
      </c>
      <c r="D409">
        <v>25</v>
      </c>
    </row>
    <row r="410" spans="1:4" x14ac:dyDescent="0.3">
      <c r="A410" t="s">
        <v>18</v>
      </c>
      <c r="B410" t="s">
        <v>50</v>
      </c>
      <c r="C410" t="s">
        <v>104</v>
      </c>
      <c r="D410">
        <v>26</v>
      </c>
    </row>
    <row r="411" spans="1:4" x14ac:dyDescent="0.3">
      <c r="A411" t="s">
        <v>19</v>
      </c>
      <c r="B411" t="s">
        <v>50</v>
      </c>
      <c r="C411" t="s">
        <v>104</v>
      </c>
      <c r="D411">
        <v>24</v>
      </c>
    </row>
    <row r="412" spans="1:4" x14ac:dyDescent="0.3">
      <c r="A412" t="s">
        <v>20</v>
      </c>
      <c r="B412" t="s">
        <v>50</v>
      </c>
      <c r="C412" t="s">
        <v>104</v>
      </c>
      <c r="D412">
        <v>25</v>
      </c>
    </row>
    <row r="413" spans="1:4" x14ac:dyDescent="0.3">
      <c r="A413" t="s">
        <v>21</v>
      </c>
      <c r="B413" t="s">
        <v>50</v>
      </c>
      <c r="C413" s="6" t="s">
        <v>104</v>
      </c>
      <c r="D413">
        <v>24.8</v>
      </c>
    </row>
    <row r="414" spans="1:4" x14ac:dyDescent="0.3">
      <c r="A414" t="s">
        <v>96</v>
      </c>
      <c r="B414" t="s">
        <v>51</v>
      </c>
      <c r="C414" t="s">
        <v>104</v>
      </c>
      <c r="D414">
        <v>57</v>
      </c>
    </row>
    <row r="415" spans="1:4" x14ac:dyDescent="0.3">
      <c r="A415" t="s">
        <v>99</v>
      </c>
      <c r="B415" t="s">
        <v>51</v>
      </c>
      <c r="C415" t="s">
        <v>104</v>
      </c>
      <c r="D415">
        <v>58</v>
      </c>
    </row>
    <row r="416" spans="1:4" x14ac:dyDescent="0.3">
      <c r="A416" t="s">
        <v>102</v>
      </c>
      <c r="B416" t="s">
        <v>51</v>
      </c>
      <c r="C416" t="s">
        <v>104</v>
      </c>
      <c r="D416">
        <v>63</v>
      </c>
    </row>
    <row r="417" spans="1:4" x14ac:dyDescent="0.3">
      <c r="A417" t="s">
        <v>108</v>
      </c>
      <c r="B417" t="s">
        <v>51</v>
      </c>
      <c r="C417" t="s">
        <v>104</v>
      </c>
      <c r="D417">
        <v>69</v>
      </c>
    </row>
    <row r="418" spans="1:4" x14ac:dyDescent="0.3">
      <c r="A418" t="s">
        <v>112</v>
      </c>
      <c r="B418" t="s">
        <v>51</v>
      </c>
      <c r="C418" t="s">
        <v>104</v>
      </c>
      <c r="D418">
        <v>74</v>
      </c>
    </row>
    <row r="419" spans="1:4" x14ac:dyDescent="0.3">
      <c r="A419" t="s">
        <v>117</v>
      </c>
      <c r="B419" t="s">
        <v>51</v>
      </c>
      <c r="C419" t="s">
        <v>104</v>
      </c>
      <c r="D419">
        <v>67</v>
      </c>
    </row>
    <row r="420" spans="1:4" x14ac:dyDescent="0.3">
      <c r="A420" t="s">
        <v>121</v>
      </c>
      <c r="B420" t="s">
        <v>51</v>
      </c>
      <c r="C420" t="s">
        <v>104</v>
      </c>
      <c r="D420">
        <v>45</v>
      </c>
    </row>
    <row r="421" spans="1:4" x14ac:dyDescent="0.3">
      <c r="A421" t="s">
        <v>124</v>
      </c>
      <c r="B421" t="s">
        <v>51</v>
      </c>
      <c r="C421" t="s">
        <v>104</v>
      </c>
      <c r="D421">
        <v>53</v>
      </c>
    </row>
    <row r="422" spans="1:4" x14ac:dyDescent="0.3">
      <c r="A422" t="s">
        <v>126</v>
      </c>
      <c r="B422" t="s">
        <v>51</v>
      </c>
      <c r="C422" t="s">
        <v>104</v>
      </c>
      <c r="D422">
        <v>78</v>
      </c>
    </row>
    <row r="423" spans="1:4" x14ac:dyDescent="0.3">
      <c r="A423" t="s">
        <v>129</v>
      </c>
      <c r="B423" t="s">
        <v>51</v>
      </c>
      <c r="C423" t="s">
        <v>104</v>
      </c>
      <c r="D423">
        <v>76</v>
      </c>
    </row>
    <row r="424" spans="1:4" x14ac:dyDescent="0.3">
      <c r="A424" t="s">
        <v>133</v>
      </c>
      <c r="B424" t="s">
        <v>51</v>
      </c>
      <c r="C424" t="s">
        <v>104</v>
      </c>
      <c r="D424">
        <v>78</v>
      </c>
    </row>
    <row r="425" spans="1:4" x14ac:dyDescent="0.3">
      <c r="A425" t="s">
        <v>138</v>
      </c>
      <c r="B425" t="s">
        <v>51</v>
      </c>
      <c r="C425" t="s">
        <v>104</v>
      </c>
      <c r="D425">
        <v>79</v>
      </c>
    </row>
    <row r="426" spans="1:4" x14ac:dyDescent="0.3">
      <c r="A426" t="s">
        <v>141</v>
      </c>
      <c r="B426" t="s">
        <v>51</v>
      </c>
      <c r="C426" t="s">
        <v>104</v>
      </c>
      <c r="D426">
        <v>81</v>
      </c>
    </row>
    <row r="427" spans="1:4" x14ac:dyDescent="0.3">
      <c r="A427" t="s">
        <v>144</v>
      </c>
      <c r="B427" t="s">
        <v>51</v>
      </c>
      <c r="C427" t="s">
        <v>104</v>
      </c>
      <c r="D427">
        <v>76</v>
      </c>
    </row>
    <row r="428" spans="1:4" x14ac:dyDescent="0.3">
      <c r="A428" t="s">
        <v>147</v>
      </c>
      <c r="B428" t="s">
        <v>51</v>
      </c>
      <c r="C428" t="s">
        <v>104</v>
      </c>
      <c r="D428">
        <v>77</v>
      </c>
    </row>
    <row r="429" spans="1:4" x14ac:dyDescent="0.3">
      <c r="A429" t="s">
        <v>150</v>
      </c>
      <c r="B429" t="s">
        <v>51</v>
      </c>
      <c r="C429" t="s">
        <v>104</v>
      </c>
      <c r="D429">
        <v>79</v>
      </c>
    </row>
    <row r="430" spans="1:4" x14ac:dyDescent="0.3">
      <c r="A430" t="s">
        <v>17</v>
      </c>
      <c r="B430" t="s">
        <v>51</v>
      </c>
      <c r="C430" t="s">
        <v>104</v>
      </c>
      <c r="D430">
        <v>74</v>
      </c>
    </row>
    <row r="431" spans="1:4" x14ac:dyDescent="0.3">
      <c r="A431" t="s">
        <v>18</v>
      </c>
      <c r="B431" t="s">
        <v>51</v>
      </c>
      <c r="C431" t="s">
        <v>104</v>
      </c>
      <c r="D431">
        <v>73</v>
      </c>
    </row>
    <row r="432" spans="1:4" x14ac:dyDescent="0.3">
      <c r="A432" t="s">
        <v>19</v>
      </c>
      <c r="B432" t="s">
        <v>51</v>
      </c>
      <c r="C432" t="s">
        <v>104</v>
      </c>
      <c r="D432">
        <v>62</v>
      </c>
    </row>
    <row r="433" spans="1:4" x14ac:dyDescent="0.3">
      <c r="A433" t="s">
        <v>20</v>
      </c>
      <c r="B433" t="s">
        <v>51</v>
      </c>
      <c r="C433" t="s">
        <v>104</v>
      </c>
      <c r="D433">
        <v>56</v>
      </c>
    </row>
    <row r="434" spans="1:4" x14ac:dyDescent="0.3">
      <c r="A434" t="s">
        <v>21</v>
      </c>
      <c r="B434" t="s">
        <v>51</v>
      </c>
      <c r="C434" t="s">
        <v>104</v>
      </c>
      <c r="D434">
        <v>61</v>
      </c>
    </row>
    <row r="435" spans="1:4" x14ac:dyDescent="0.3">
      <c r="A435" t="s">
        <v>155</v>
      </c>
      <c r="B435" t="s">
        <v>51</v>
      </c>
      <c r="C435" t="s">
        <v>104</v>
      </c>
      <c r="D435">
        <v>50</v>
      </c>
    </row>
    <row r="436" spans="1:4" x14ac:dyDescent="0.3">
      <c r="A436" t="s">
        <v>156</v>
      </c>
      <c r="B436" t="s">
        <v>51</v>
      </c>
      <c r="C436" t="s">
        <v>104</v>
      </c>
      <c r="D436">
        <v>53</v>
      </c>
    </row>
    <row r="437" spans="1:4" x14ac:dyDescent="0.3">
      <c r="A437" t="s">
        <v>96</v>
      </c>
      <c r="B437" t="s">
        <v>52</v>
      </c>
      <c r="C437" t="s">
        <v>33</v>
      </c>
      <c r="D437">
        <v>929</v>
      </c>
    </row>
    <row r="438" spans="1:4" x14ac:dyDescent="0.3">
      <c r="A438" t="s">
        <v>99</v>
      </c>
      <c r="B438" t="s">
        <v>52</v>
      </c>
      <c r="C438" t="s">
        <v>33</v>
      </c>
      <c r="D438">
        <v>941</v>
      </c>
    </row>
    <row r="439" spans="1:4" x14ac:dyDescent="0.3">
      <c r="A439" t="s">
        <v>102</v>
      </c>
      <c r="B439" t="s">
        <v>52</v>
      </c>
      <c r="C439" t="s">
        <v>33</v>
      </c>
      <c r="D439">
        <v>997</v>
      </c>
    </row>
    <row r="440" spans="1:4" x14ac:dyDescent="0.3">
      <c r="A440" t="s">
        <v>108</v>
      </c>
      <c r="B440" t="s">
        <v>52</v>
      </c>
      <c r="C440" t="s">
        <v>33</v>
      </c>
      <c r="D440">
        <v>1283</v>
      </c>
    </row>
    <row r="441" spans="1:4" x14ac:dyDescent="0.3">
      <c r="A441" t="s">
        <v>112</v>
      </c>
      <c r="B441" t="s">
        <v>52</v>
      </c>
      <c r="C441" t="s">
        <v>33</v>
      </c>
      <c r="D441">
        <v>1342</v>
      </c>
    </row>
    <row r="442" spans="1:4" x14ac:dyDescent="0.3">
      <c r="A442" t="s">
        <v>117</v>
      </c>
      <c r="B442" t="s">
        <v>52</v>
      </c>
      <c r="C442" t="s">
        <v>33</v>
      </c>
      <c r="D442">
        <v>1431</v>
      </c>
    </row>
    <row r="443" spans="1:4" x14ac:dyDescent="0.3">
      <c r="A443" t="s">
        <v>121</v>
      </c>
      <c r="B443" t="s">
        <v>52</v>
      </c>
      <c r="C443" t="s">
        <v>33</v>
      </c>
      <c r="D443">
        <v>1625</v>
      </c>
    </row>
    <row r="444" spans="1:4" x14ac:dyDescent="0.3">
      <c r="A444" t="s">
        <v>124</v>
      </c>
      <c r="B444" t="s">
        <v>52</v>
      </c>
      <c r="C444" t="s">
        <v>33</v>
      </c>
      <c r="D444">
        <v>1598</v>
      </c>
    </row>
    <row r="445" spans="1:4" x14ac:dyDescent="0.3">
      <c r="A445" t="s">
        <v>126</v>
      </c>
      <c r="B445" t="s">
        <v>52</v>
      </c>
      <c r="C445" t="s">
        <v>33</v>
      </c>
      <c r="D445">
        <v>1651</v>
      </c>
    </row>
    <row r="446" spans="1:4" x14ac:dyDescent="0.3">
      <c r="A446" t="s">
        <v>129</v>
      </c>
      <c r="B446" t="s">
        <v>52</v>
      </c>
      <c r="C446" t="s">
        <v>33</v>
      </c>
      <c r="D446">
        <v>1671</v>
      </c>
    </row>
    <row r="447" spans="1:4" x14ac:dyDescent="0.3">
      <c r="A447" t="s">
        <v>133</v>
      </c>
      <c r="B447" t="s">
        <v>52</v>
      </c>
      <c r="C447" t="s">
        <v>33</v>
      </c>
      <c r="D447">
        <v>1721</v>
      </c>
    </row>
    <row r="448" spans="1:4" x14ac:dyDescent="0.3">
      <c r="A448" t="s">
        <v>138</v>
      </c>
      <c r="B448" t="s">
        <v>52</v>
      </c>
      <c r="C448" t="s">
        <v>33</v>
      </c>
      <c r="D448">
        <v>1724</v>
      </c>
    </row>
    <row r="449" spans="1:4" x14ac:dyDescent="0.3">
      <c r="A449" t="s">
        <v>141</v>
      </c>
      <c r="B449" t="s">
        <v>52</v>
      </c>
      <c r="C449" t="s">
        <v>33</v>
      </c>
      <c r="D449">
        <v>1861</v>
      </c>
    </row>
    <row r="450" spans="1:4" x14ac:dyDescent="0.3">
      <c r="A450" t="s">
        <v>144</v>
      </c>
      <c r="B450" t="s">
        <v>52</v>
      </c>
      <c r="C450" t="s">
        <v>33</v>
      </c>
      <c r="D450">
        <v>1903</v>
      </c>
    </row>
    <row r="451" spans="1:4" x14ac:dyDescent="0.3">
      <c r="A451" t="s">
        <v>147</v>
      </c>
      <c r="B451" t="s">
        <v>52</v>
      </c>
      <c r="C451" t="s">
        <v>33</v>
      </c>
      <c r="D451">
        <v>1930</v>
      </c>
    </row>
    <row r="452" spans="1:4" x14ac:dyDescent="0.3">
      <c r="A452" t="s">
        <v>150</v>
      </c>
      <c r="B452" t="s">
        <v>52</v>
      </c>
      <c r="C452" t="s">
        <v>33</v>
      </c>
      <c r="D452">
        <v>2003</v>
      </c>
    </row>
    <row r="453" spans="1:4" x14ac:dyDescent="0.3">
      <c r="A453" t="s">
        <v>17</v>
      </c>
      <c r="B453" t="s">
        <v>52</v>
      </c>
      <c r="C453" t="s">
        <v>33</v>
      </c>
      <c r="D453">
        <v>2088</v>
      </c>
    </row>
    <row r="454" spans="1:4" x14ac:dyDescent="0.3">
      <c r="A454" t="s">
        <v>18</v>
      </c>
      <c r="B454" t="s">
        <v>52</v>
      </c>
      <c r="C454" t="s">
        <v>33</v>
      </c>
      <c r="D454">
        <v>2311</v>
      </c>
    </row>
    <row r="455" spans="1:4" x14ac:dyDescent="0.3">
      <c r="A455" t="s">
        <v>19</v>
      </c>
      <c r="B455" t="s">
        <v>52</v>
      </c>
      <c r="C455" t="s">
        <v>33</v>
      </c>
      <c r="D455">
        <v>2370</v>
      </c>
    </row>
    <row r="456" spans="1:4" x14ac:dyDescent="0.3">
      <c r="A456" t="s">
        <v>20</v>
      </c>
      <c r="B456" t="s">
        <v>52</v>
      </c>
      <c r="C456" t="s">
        <v>33</v>
      </c>
      <c r="D456">
        <v>2373</v>
      </c>
    </row>
    <row r="457" spans="1:4" x14ac:dyDescent="0.3">
      <c r="A457" t="s">
        <v>21</v>
      </c>
      <c r="B457" t="s">
        <v>52</v>
      </c>
      <c r="C457" t="s">
        <v>33</v>
      </c>
      <c r="D457">
        <v>2402</v>
      </c>
    </row>
    <row r="458" spans="1:4" x14ac:dyDescent="0.3">
      <c r="A458" t="s">
        <v>155</v>
      </c>
      <c r="B458" t="s">
        <v>52</v>
      </c>
      <c r="C458" t="s">
        <v>33</v>
      </c>
      <c r="D458">
        <v>2476</v>
      </c>
    </row>
    <row r="459" spans="1:4" x14ac:dyDescent="0.3">
      <c r="A459" t="s">
        <v>156</v>
      </c>
      <c r="B459" t="s">
        <v>52</v>
      </c>
      <c r="C459" t="s">
        <v>33</v>
      </c>
      <c r="D459">
        <v>2636</v>
      </c>
    </row>
    <row r="460" spans="1:4" x14ac:dyDescent="0.3">
      <c r="A460" t="s">
        <v>96</v>
      </c>
      <c r="B460" t="s">
        <v>53</v>
      </c>
      <c r="C460" t="s">
        <v>40</v>
      </c>
      <c r="D460">
        <v>7731</v>
      </c>
    </row>
    <row r="461" spans="1:4" x14ac:dyDescent="0.3">
      <c r="A461" t="s">
        <v>99</v>
      </c>
      <c r="B461" t="s">
        <v>53</v>
      </c>
      <c r="C461" t="s">
        <v>40</v>
      </c>
      <c r="D461">
        <v>7855</v>
      </c>
    </row>
    <row r="462" spans="1:4" x14ac:dyDescent="0.3">
      <c r="A462" t="s">
        <v>102</v>
      </c>
      <c r="B462" t="s">
        <v>53</v>
      </c>
      <c r="C462" t="s">
        <v>40</v>
      </c>
      <c r="D462">
        <v>7948</v>
      </c>
    </row>
    <row r="463" spans="1:4" x14ac:dyDescent="0.3">
      <c r="A463" t="s">
        <v>108</v>
      </c>
      <c r="B463" t="s">
        <v>53</v>
      </c>
      <c r="C463" t="s">
        <v>40</v>
      </c>
      <c r="D463">
        <v>8012</v>
      </c>
    </row>
    <row r="464" spans="1:4" x14ac:dyDescent="0.3">
      <c r="A464" t="s">
        <v>112</v>
      </c>
      <c r="B464" t="s">
        <v>53</v>
      </c>
      <c r="C464" t="s">
        <v>40</v>
      </c>
      <c r="D464">
        <v>8071</v>
      </c>
    </row>
    <row r="465" spans="1:4" x14ac:dyDescent="0.3">
      <c r="A465" t="s">
        <v>117</v>
      </c>
      <c r="B465" t="s">
        <v>53</v>
      </c>
      <c r="C465" t="s">
        <v>40</v>
      </c>
      <c r="D465">
        <v>8125</v>
      </c>
    </row>
    <row r="466" spans="1:4" x14ac:dyDescent="0.3">
      <c r="A466" t="s">
        <v>121</v>
      </c>
      <c r="B466" t="s">
        <v>53</v>
      </c>
      <c r="C466" t="s">
        <v>40</v>
      </c>
      <c r="D466">
        <v>8179</v>
      </c>
    </row>
    <row r="467" spans="1:4" x14ac:dyDescent="0.3">
      <c r="A467" t="s">
        <v>124</v>
      </c>
      <c r="B467" t="s">
        <v>53</v>
      </c>
      <c r="C467" t="s">
        <v>40</v>
      </c>
      <c r="D467">
        <v>8232</v>
      </c>
    </row>
    <row r="468" spans="1:4" x14ac:dyDescent="0.3">
      <c r="A468" t="s">
        <v>126</v>
      </c>
      <c r="B468" t="s">
        <v>53</v>
      </c>
      <c r="C468" t="s">
        <v>40</v>
      </c>
      <c r="D468">
        <v>8285</v>
      </c>
    </row>
    <row r="469" spans="1:4" x14ac:dyDescent="0.3">
      <c r="A469" t="s">
        <v>129</v>
      </c>
      <c r="B469" t="s">
        <v>53</v>
      </c>
      <c r="C469" t="s">
        <v>40</v>
      </c>
      <c r="D469">
        <v>8338</v>
      </c>
    </row>
    <row r="470" spans="1:4" x14ac:dyDescent="0.3">
      <c r="A470" t="s">
        <v>133</v>
      </c>
      <c r="B470" t="s">
        <v>53</v>
      </c>
      <c r="C470" t="s">
        <v>40</v>
      </c>
      <c r="D470">
        <v>8391</v>
      </c>
    </row>
    <row r="471" spans="1:4" x14ac:dyDescent="0.3">
      <c r="A471" t="s">
        <v>138</v>
      </c>
      <c r="B471" t="s">
        <v>53</v>
      </c>
      <c r="C471" t="s">
        <v>40</v>
      </c>
      <c r="D471">
        <v>8444</v>
      </c>
    </row>
    <row r="472" spans="1:4" x14ac:dyDescent="0.3">
      <c r="A472" t="s">
        <v>141</v>
      </c>
      <c r="B472" t="s">
        <v>53</v>
      </c>
      <c r="C472" t="s">
        <v>40</v>
      </c>
      <c r="D472">
        <v>8497</v>
      </c>
    </row>
    <row r="473" spans="1:4" x14ac:dyDescent="0.3">
      <c r="A473" t="s">
        <v>144</v>
      </c>
      <c r="B473" t="s">
        <v>53</v>
      </c>
      <c r="C473" t="s">
        <v>40</v>
      </c>
      <c r="D473">
        <v>8550</v>
      </c>
    </row>
    <row r="474" spans="1:4" x14ac:dyDescent="0.3">
      <c r="A474" t="s">
        <v>147</v>
      </c>
      <c r="B474" t="s">
        <v>53</v>
      </c>
      <c r="C474" t="s">
        <v>40</v>
      </c>
      <c r="D474">
        <v>8603</v>
      </c>
    </row>
    <row r="475" spans="1:4" x14ac:dyDescent="0.3">
      <c r="A475" t="s">
        <v>150</v>
      </c>
      <c r="B475" t="s">
        <v>53</v>
      </c>
      <c r="C475" t="s">
        <v>40</v>
      </c>
      <c r="D475">
        <v>8656</v>
      </c>
    </row>
    <row r="476" spans="1:4" x14ac:dyDescent="0.3">
      <c r="A476" t="s">
        <v>17</v>
      </c>
      <c r="B476" t="s">
        <v>53</v>
      </c>
      <c r="C476" t="s">
        <v>40</v>
      </c>
      <c r="D476">
        <v>8709</v>
      </c>
    </row>
    <row r="477" spans="1:4" x14ac:dyDescent="0.3">
      <c r="A477" t="s">
        <v>18</v>
      </c>
      <c r="B477" t="s">
        <v>53</v>
      </c>
      <c r="C477" t="s">
        <v>40</v>
      </c>
      <c r="D477">
        <v>8762</v>
      </c>
    </row>
    <row r="478" spans="1:4" x14ac:dyDescent="0.3">
      <c r="A478" t="s">
        <v>19</v>
      </c>
      <c r="B478" t="s">
        <v>53</v>
      </c>
      <c r="C478" t="s">
        <v>40</v>
      </c>
      <c r="D478">
        <v>8815</v>
      </c>
    </row>
    <row r="479" spans="1:4" x14ac:dyDescent="0.3">
      <c r="A479" t="s">
        <v>20</v>
      </c>
      <c r="B479" t="s">
        <v>53</v>
      </c>
      <c r="C479" t="s">
        <v>40</v>
      </c>
      <c r="D479">
        <v>8868</v>
      </c>
    </row>
    <row r="480" spans="1:4" x14ac:dyDescent="0.3">
      <c r="A480" t="s">
        <v>21</v>
      </c>
      <c r="B480" t="s">
        <v>53</v>
      </c>
      <c r="C480" t="s">
        <v>40</v>
      </c>
      <c r="D480">
        <v>8921</v>
      </c>
    </row>
    <row r="481" spans="1:4" x14ac:dyDescent="0.3">
      <c r="A481" t="s">
        <v>155</v>
      </c>
      <c r="B481" t="s">
        <v>53</v>
      </c>
      <c r="C481" t="s">
        <v>40</v>
      </c>
      <c r="D481">
        <v>8974</v>
      </c>
    </row>
    <row r="482" spans="1:4" x14ac:dyDescent="0.3">
      <c r="A482" t="s">
        <v>156</v>
      </c>
      <c r="B482" t="s">
        <v>53</v>
      </c>
      <c r="C482" t="s">
        <v>40</v>
      </c>
      <c r="D482">
        <v>9027</v>
      </c>
    </row>
    <row r="483" spans="1:4" x14ac:dyDescent="0.3">
      <c r="A483" t="s">
        <v>96</v>
      </c>
      <c r="B483" t="s">
        <v>54</v>
      </c>
      <c r="C483" t="s">
        <v>40</v>
      </c>
      <c r="D483">
        <v>4652</v>
      </c>
    </row>
    <row r="484" spans="1:4" x14ac:dyDescent="0.3">
      <c r="A484" t="s">
        <v>99</v>
      </c>
      <c r="B484" t="s">
        <v>54</v>
      </c>
      <c r="C484" t="s">
        <v>40</v>
      </c>
      <c r="D484">
        <v>4760</v>
      </c>
    </row>
    <row r="485" spans="1:4" x14ac:dyDescent="0.3">
      <c r="A485" t="s">
        <v>102</v>
      </c>
      <c r="B485" t="s">
        <v>54</v>
      </c>
      <c r="C485" t="s">
        <v>40</v>
      </c>
      <c r="D485">
        <v>4868</v>
      </c>
    </row>
    <row r="486" spans="1:4" x14ac:dyDescent="0.3">
      <c r="A486" t="s">
        <v>108</v>
      </c>
      <c r="B486" t="s">
        <v>54</v>
      </c>
      <c r="C486" t="s">
        <v>40</v>
      </c>
      <c r="D486">
        <v>4976</v>
      </c>
    </row>
    <row r="487" spans="1:4" x14ac:dyDescent="0.3">
      <c r="A487" t="s">
        <v>112</v>
      </c>
      <c r="B487" t="s">
        <v>54</v>
      </c>
      <c r="C487" t="s">
        <v>40</v>
      </c>
      <c r="D487">
        <v>5084</v>
      </c>
    </row>
    <row r="488" spans="1:4" x14ac:dyDescent="0.3">
      <c r="A488" t="s">
        <v>117</v>
      </c>
      <c r="B488" t="s">
        <v>54</v>
      </c>
      <c r="C488" t="s">
        <v>40</v>
      </c>
      <c r="D488">
        <v>5192</v>
      </c>
    </row>
    <row r="489" spans="1:4" x14ac:dyDescent="0.3">
      <c r="A489" t="s">
        <v>121</v>
      </c>
      <c r="B489" t="s">
        <v>54</v>
      </c>
      <c r="C489" t="s">
        <v>40</v>
      </c>
      <c r="D489">
        <v>5300</v>
      </c>
    </row>
    <row r="490" spans="1:4" x14ac:dyDescent="0.3">
      <c r="A490" t="s">
        <v>124</v>
      </c>
      <c r="B490" t="s">
        <v>54</v>
      </c>
      <c r="C490" t="s">
        <v>40</v>
      </c>
      <c r="D490">
        <v>5408</v>
      </c>
    </row>
    <row r="491" spans="1:4" x14ac:dyDescent="0.3">
      <c r="A491" t="s">
        <v>126</v>
      </c>
      <c r="B491" t="s">
        <v>54</v>
      </c>
      <c r="C491" t="s">
        <v>40</v>
      </c>
      <c r="D491">
        <v>5516</v>
      </c>
    </row>
    <row r="492" spans="1:4" x14ac:dyDescent="0.3">
      <c r="A492" t="s">
        <v>129</v>
      </c>
      <c r="B492" t="s">
        <v>54</v>
      </c>
      <c r="C492" t="s">
        <v>40</v>
      </c>
      <c r="D492">
        <v>5624</v>
      </c>
    </row>
    <row r="493" spans="1:4" x14ac:dyDescent="0.3">
      <c r="A493" t="s">
        <v>133</v>
      </c>
      <c r="B493" t="s">
        <v>54</v>
      </c>
      <c r="C493" t="s">
        <v>40</v>
      </c>
      <c r="D493">
        <v>5732</v>
      </c>
    </row>
    <row r="494" spans="1:4" x14ac:dyDescent="0.3">
      <c r="A494" t="s">
        <v>138</v>
      </c>
      <c r="B494" t="s">
        <v>54</v>
      </c>
      <c r="C494" t="s">
        <v>40</v>
      </c>
      <c r="D494">
        <v>5840</v>
      </c>
    </row>
    <row r="495" spans="1:4" x14ac:dyDescent="0.3">
      <c r="A495" t="s">
        <v>141</v>
      </c>
      <c r="B495" t="s">
        <v>54</v>
      </c>
      <c r="C495" t="s">
        <v>40</v>
      </c>
      <c r="D495">
        <v>5948</v>
      </c>
    </row>
    <row r="496" spans="1:4" x14ac:dyDescent="0.3">
      <c r="A496" t="s">
        <v>144</v>
      </c>
      <c r="B496" t="s">
        <v>54</v>
      </c>
      <c r="C496" t="s">
        <v>40</v>
      </c>
      <c r="D496">
        <v>6056</v>
      </c>
    </row>
    <row r="497" spans="1:4" x14ac:dyDescent="0.3">
      <c r="A497" t="s">
        <v>147</v>
      </c>
      <c r="B497" t="s">
        <v>54</v>
      </c>
      <c r="C497" t="s">
        <v>40</v>
      </c>
      <c r="D497">
        <v>6164</v>
      </c>
    </row>
    <row r="498" spans="1:4" x14ac:dyDescent="0.3">
      <c r="A498" t="s">
        <v>150</v>
      </c>
      <c r="B498" t="s">
        <v>54</v>
      </c>
      <c r="C498" t="s">
        <v>40</v>
      </c>
      <c r="D498">
        <v>6272</v>
      </c>
    </row>
    <row r="499" spans="1:4" x14ac:dyDescent="0.3">
      <c r="A499" t="s">
        <v>17</v>
      </c>
      <c r="B499" t="s">
        <v>54</v>
      </c>
      <c r="C499" t="s">
        <v>40</v>
      </c>
      <c r="D499">
        <v>6380</v>
      </c>
    </row>
    <row r="500" spans="1:4" x14ac:dyDescent="0.3">
      <c r="A500" t="s">
        <v>18</v>
      </c>
      <c r="B500" t="s">
        <v>54</v>
      </c>
      <c r="C500" t="s">
        <v>40</v>
      </c>
      <c r="D500">
        <v>6488</v>
      </c>
    </row>
    <row r="501" spans="1:4" x14ac:dyDescent="0.3">
      <c r="A501" t="s">
        <v>19</v>
      </c>
      <c r="B501" t="s">
        <v>54</v>
      </c>
      <c r="C501" t="s">
        <v>40</v>
      </c>
      <c r="D501">
        <v>6596</v>
      </c>
    </row>
    <row r="502" spans="1:4" x14ac:dyDescent="0.3">
      <c r="A502" t="s">
        <v>20</v>
      </c>
      <c r="B502" t="s">
        <v>54</v>
      </c>
      <c r="C502" t="s">
        <v>40</v>
      </c>
      <c r="D502">
        <v>6704</v>
      </c>
    </row>
    <row r="503" spans="1:4" x14ac:dyDescent="0.3">
      <c r="A503" t="s">
        <v>21</v>
      </c>
      <c r="B503" t="s">
        <v>54</v>
      </c>
      <c r="C503" t="s">
        <v>40</v>
      </c>
      <c r="D503">
        <v>6812</v>
      </c>
    </row>
    <row r="504" spans="1:4" x14ac:dyDescent="0.3">
      <c r="A504" t="s">
        <v>155</v>
      </c>
      <c r="B504" t="s">
        <v>54</v>
      </c>
      <c r="C504" t="s">
        <v>40</v>
      </c>
      <c r="D504">
        <v>6920</v>
      </c>
    </row>
    <row r="505" spans="1:4" x14ac:dyDescent="0.3">
      <c r="A505" t="s">
        <v>156</v>
      </c>
      <c r="B505" t="s">
        <v>54</v>
      </c>
      <c r="C505" t="s">
        <v>40</v>
      </c>
      <c r="D505">
        <v>7028</v>
      </c>
    </row>
    <row r="506" spans="1:4" x14ac:dyDescent="0.3">
      <c r="A506" t="s">
        <v>96</v>
      </c>
      <c r="B506" t="s">
        <v>55</v>
      </c>
      <c r="C506" t="s">
        <v>104</v>
      </c>
      <c r="D506">
        <v>23</v>
      </c>
    </row>
    <row r="507" spans="1:4" x14ac:dyDescent="0.3">
      <c r="A507" t="s">
        <v>99</v>
      </c>
      <c r="B507" t="s">
        <v>55</v>
      </c>
      <c r="C507" t="s">
        <v>104</v>
      </c>
      <c r="D507">
        <v>24</v>
      </c>
    </row>
    <row r="508" spans="1:4" x14ac:dyDescent="0.3">
      <c r="A508" t="s">
        <v>102</v>
      </c>
      <c r="B508" t="s">
        <v>55</v>
      </c>
      <c r="C508" t="s">
        <v>104</v>
      </c>
      <c r="D508">
        <v>24</v>
      </c>
    </row>
    <row r="509" spans="1:4" x14ac:dyDescent="0.3">
      <c r="A509" t="s">
        <v>108</v>
      </c>
      <c r="B509" t="s">
        <v>55</v>
      </c>
      <c r="C509" t="s">
        <v>104</v>
      </c>
      <c r="D509">
        <v>25</v>
      </c>
    </row>
    <row r="510" spans="1:4" x14ac:dyDescent="0.3">
      <c r="A510" t="s">
        <v>112</v>
      </c>
      <c r="B510" t="s">
        <v>55</v>
      </c>
      <c r="C510" t="s">
        <v>104</v>
      </c>
      <c r="D510">
        <v>25</v>
      </c>
    </row>
    <row r="511" spans="1:4" x14ac:dyDescent="0.3">
      <c r="A511" t="s">
        <v>117</v>
      </c>
      <c r="B511" t="s">
        <v>55</v>
      </c>
      <c r="C511" t="s">
        <v>104</v>
      </c>
      <c r="D511">
        <v>25</v>
      </c>
    </row>
    <row r="512" spans="1:4" x14ac:dyDescent="0.3">
      <c r="A512" t="s">
        <v>121</v>
      </c>
      <c r="B512" t="s">
        <v>55</v>
      </c>
      <c r="C512" t="s">
        <v>104</v>
      </c>
      <c r="D512">
        <v>26</v>
      </c>
    </row>
    <row r="513" spans="1:4" x14ac:dyDescent="0.3">
      <c r="A513" t="s">
        <v>124</v>
      </c>
      <c r="B513" t="s">
        <v>55</v>
      </c>
      <c r="C513" t="s">
        <v>104</v>
      </c>
      <c r="D513">
        <v>26</v>
      </c>
    </row>
    <row r="514" spans="1:4" x14ac:dyDescent="0.3">
      <c r="A514" t="s">
        <v>126</v>
      </c>
      <c r="B514" t="s">
        <v>55</v>
      </c>
      <c r="C514" t="s">
        <v>104</v>
      </c>
      <c r="D514">
        <v>26</v>
      </c>
    </row>
    <row r="515" spans="1:4" x14ac:dyDescent="0.3">
      <c r="A515" t="s">
        <v>129</v>
      </c>
      <c r="B515" t="s">
        <v>55</v>
      </c>
      <c r="C515" t="s">
        <v>104</v>
      </c>
      <c r="D515">
        <v>26</v>
      </c>
    </row>
    <row r="516" spans="1:4" x14ac:dyDescent="0.3">
      <c r="A516" t="s">
        <v>133</v>
      </c>
      <c r="B516" t="s">
        <v>55</v>
      </c>
      <c r="C516" t="s">
        <v>104</v>
      </c>
      <c r="D516">
        <v>27</v>
      </c>
    </row>
    <row r="517" spans="1:4" x14ac:dyDescent="0.3">
      <c r="A517" t="s">
        <v>138</v>
      </c>
      <c r="B517" t="s">
        <v>55</v>
      </c>
      <c r="C517" t="s">
        <v>104</v>
      </c>
      <c r="D517">
        <v>27</v>
      </c>
    </row>
    <row r="518" spans="1:4" x14ac:dyDescent="0.3">
      <c r="A518" t="s">
        <v>141</v>
      </c>
      <c r="B518" t="s">
        <v>55</v>
      </c>
      <c r="C518" t="s">
        <v>104</v>
      </c>
      <c r="D518">
        <v>28</v>
      </c>
    </row>
    <row r="519" spans="1:4" x14ac:dyDescent="0.3">
      <c r="A519" t="s">
        <v>144</v>
      </c>
      <c r="B519" t="s">
        <v>55</v>
      </c>
      <c r="C519" t="s">
        <v>104</v>
      </c>
      <c r="D519">
        <v>28</v>
      </c>
    </row>
    <row r="520" spans="1:4" x14ac:dyDescent="0.3">
      <c r="A520" t="s">
        <v>147</v>
      </c>
      <c r="B520" t="s">
        <v>55</v>
      </c>
      <c r="C520" t="s">
        <v>104</v>
      </c>
      <c r="D520">
        <v>29</v>
      </c>
    </row>
    <row r="521" spans="1:4" x14ac:dyDescent="0.3">
      <c r="A521" t="s">
        <v>150</v>
      </c>
      <c r="B521" t="s">
        <v>55</v>
      </c>
      <c r="C521" t="s">
        <v>104</v>
      </c>
      <c r="D521">
        <v>29</v>
      </c>
    </row>
    <row r="522" spans="1:4" x14ac:dyDescent="0.3">
      <c r="A522" t="s">
        <v>17</v>
      </c>
      <c r="B522" t="s">
        <v>55</v>
      </c>
      <c r="C522" t="s">
        <v>104</v>
      </c>
      <c r="D522">
        <v>30</v>
      </c>
    </row>
    <row r="523" spans="1:4" x14ac:dyDescent="0.3">
      <c r="A523" t="s">
        <v>18</v>
      </c>
      <c r="B523" t="s">
        <v>55</v>
      </c>
      <c r="C523" t="s">
        <v>104</v>
      </c>
      <c r="D523">
        <v>31</v>
      </c>
    </row>
    <row r="524" spans="1:4" x14ac:dyDescent="0.3">
      <c r="A524" t="s">
        <v>19</v>
      </c>
      <c r="B524" t="s">
        <v>55</v>
      </c>
      <c r="C524" t="s">
        <v>104</v>
      </c>
      <c r="D524">
        <v>32</v>
      </c>
    </row>
    <row r="525" spans="1:4" x14ac:dyDescent="0.3">
      <c r="A525" t="s">
        <v>20</v>
      </c>
      <c r="B525" t="s">
        <v>55</v>
      </c>
      <c r="C525" t="s">
        <v>104</v>
      </c>
      <c r="D525">
        <v>33</v>
      </c>
    </row>
    <row r="526" spans="1:4" x14ac:dyDescent="0.3">
      <c r="A526" t="s">
        <v>21</v>
      </c>
      <c r="B526" t="s">
        <v>55</v>
      </c>
      <c r="C526" t="s">
        <v>104</v>
      </c>
      <c r="D526">
        <v>34</v>
      </c>
    </row>
    <row r="527" spans="1:4" x14ac:dyDescent="0.3">
      <c r="A527" t="s">
        <v>155</v>
      </c>
      <c r="B527" t="s">
        <v>55</v>
      </c>
      <c r="C527" t="s">
        <v>104</v>
      </c>
      <c r="D527">
        <v>35</v>
      </c>
    </row>
    <row r="528" spans="1:4" x14ac:dyDescent="0.3">
      <c r="A528" t="s">
        <v>156</v>
      </c>
      <c r="B528" t="s">
        <v>55</v>
      </c>
      <c r="C528" t="s">
        <v>104</v>
      </c>
      <c r="D528">
        <v>36</v>
      </c>
    </row>
    <row r="529" spans="1:4" x14ac:dyDescent="0.3">
      <c r="A529" t="s">
        <v>96</v>
      </c>
      <c r="B529" t="s">
        <v>56</v>
      </c>
      <c r="C529" t="s">
        <v>28</v>
      </c>
      <c r="D529">
        <v>4972</v>
      </c>
    </row>
    <row r="530" spans="1:4" x14ac:dyDescent="0.3">
      <c r="A530" t="s">
        <v>99</v>
      </c>
      <c r="B530" t="s">
        <v>56</v>
      </c>
      <c r="C530" t="s">
        <v>28</v>
      </c>
      <c r="D530">
        <v>5107</v>
      </c>
    </row>
    <row r="531" spans="1:4" x14ac:dyDescent="0.3">
      <c r="A531" t="s">
        <v>102</v>
      </c>
      <c r="B531" t="s">
        <v>56</v>
      </c>
      <c r="C531" t="s">
        <v>28</v>
      </c>
      <c r="D531">
        <v>5239</v>
      </c>
    </row>
    <row r="532" spans="1:4" x14ac:dyDescent="0.3">
      <c r="A532" t="s">
        <v>108</v>
      </c>
      <c r="B532" t="s">
        <v>56</v>
      </c>
      <c r="C532" t="s">
        <v>28</v>
      </c>
      <c r="D532">
        <v>5370</v>
      </c>
    </row>
    <row r="533" spans="1:4" x14ac:dyDescent="0.3">
      <c r="A533" t="s">
        <v>112</v>
      </c>
      <c r="B533" t="s">
        <v>56</v>
      </c>
      <c r="C533" t="s">
        <v>28</v>
      </c>
      <c r="D533">
        <v>5500</v>
      </c>
    </row>
    <row r="534" spans="1:4" x14ac:dyDescent="0.3">
      <c r="A534" t="s">
        <v>117</v>
      </c>
      <c r="B534" t="s">
        <v>56</v>
      </c>
      <c r="C534" t="s">
        <v>28</v>
      </c>
      <c r="D534">
        <v>5630</v>
      </c>
    </row>
    <row r="535" spans="1:4" x14ac:dyDescent="0.3">
      <c r="A535" t="s">
        <v>121</v>
      </c>
      <c r="B535" t="s">
        <v>56</v>
      </c>
      <c r="C535" t="s">
        <v>28</v>
      </c>
      <c r="D535">
        <v>5760</v>
      </c>
    </row>
    <row r="536" spans="1:4" x14ac:dyDescent="0.3">
      <c r="A536" t="s">
        <v>124</v>
      </c>
      <c r="B536" t="s">
        <v>56</v>
      </c>
      <c r="C536" t="s">
        <v>28</v>
      </c>
      <c r="D536">
        <v>5890</v>
      </c>
    </row>
    <row r="537" spans="1:4" x14ac:dyDescent="0.3">
      <c r="A537" t="s">
        <v>126</v>
      </c>
      <c r="B537" t="s">
        <v>56</v>
      </c>
      <c r="C537" t="s">
        <v>28</v>
      </c>
      <c r="D537">
        <v>6020</v>
      </c>
    </row>
    <row r="538" spans="1:4" x14ac:dyDescent="0.3">
      <c r="A538" t="s">
        <v>129</v>
      </c>
      <c r="B538" t="s">
        <v>56</v>
      </c>
      <c r="C538" t="s">
        <v>28</v>
      </c>
      <c r="D538">
        <v>6150</v>
      </c>
    </row>
    <row r="539" spans="1:4" x14ac:dyDescent="0.3">
      <c r="A539" t="s">
        <v>133</v>
      </c>
      <c r="B539" t="s">
        <v>56</v>
      </c>
      <c r="C539" t="s">
        <v>28</v>
      </c>
      <c r="D539">
        <v>6280</v>
      </c>
    </row>
    <row r="540" spans="1:4" x14ac:dyDescent="0.3">
      <c r="A540" t="s">
        <v>138</v>
      </c>
      <c r="B540" t="s">
        <v>56</v>
      </c>
      <c r="C540" t="s">
        <v>28</v>
      </c>
      <c r="D540">
        <v>6410</v>
      </c>
    </row>
    <row r="541" spans="1:4" x14ac:dyDescent="0.3">
      <c r="A541" t="s">
        <v>141</v>
      </c>
      <c r="B541" t="s">
        <v>56</v>
      </c>
      <c r="C541" t="s">
        <v>28</v>
      </c>
      <c r="D541">
        <v>6540</v>
      </c>
    </row>
    <row r="542" spans="1:4" x14ac:dyDescent="0.3">
      <c r="A542" t="s">
        <v>144</v>
      </c>
      <c r="B542" t="s">
        <v>56</v>
      </c>
      <c r="C542" t="s">
        <v>28</v>
      </c>
      <c r="D542">
        <v>6670</v>
      </c>
    </row>
    <row r="543" spans="1:4" x14ac:dyDescent="0.3">
      <c r="A543" t="s">
        <v>147</v>
      </c>
      <c r="B543" t="s">
        <v>56</v>
      </c>
      <c r="C543" t="s">
        <v>28</v>
      </c>
      <c r="D543">
        <v>6800</v>
      </c>
    </row>
    <row r="544" spans="1:4" x14ac:dyDescent="0.3">
      <c r="A544" t="s">
        <v>150</v>
      </c>
      <c r="B544" t="s">
        <v>56</v>
      </c>
      <c r="C544" t="s">
        <v>28</v>
      </c>
      <c r="D544">
        <v>6930</v>
      </c>
    </row>
    <row r="545" spans="1:4" x14ac:dyDescent="0.3">
      <c r="A545" t="s">
        <v>17</v>
      </c>
      <c r="B545" t="s">
        <v>56</v>
      </c>
      <c r="C545" t="s">
        <v>28</v>
      </c>
      <c r="D545">
        <v>7060</v>
      </c>
    </row>
    <row r="546" spans="1:4" x14ac:dyDescent="0.3">
      <c r="A546" t="s">
        <v>18</v>
      </c>
      <c r="B546" t="s">
        <v>56</v>
      </c>
      <c r="C546" t="s">
        <v>28</v>
      </c>
      <c r="D546">
        <v>7190</v>
      </c>
    </row>
    <row r="547" spans="1:4" x14ac:dyDescent="0.3">
      <c r="A547" t="s">
        <v>19</v>
      </c>
      <c r="B547" t="s">
        <v>56</v>
      </c>
      <c r="C547" t="s">
        <v>28</v>
      </c>
      <c r="D547">
        <v>7320</v>
      </c>
    </row>
    <row r="548" spans="1:4" x14ac:dyDescent="0.3">
      <c r="A548" t="s">
        <v>20</v>
      </c>
      <c r="B548" t="s">
        <v>56</v>
      </c>
      <c r="C548" t="s">
        <v>28</v>
      </c>
      <c r="D548">
        <v>7450</v>
      </c>
    </row>
    <row r="549" spans="1:4" x14ac:dyDescent="0.3">
      <c r="A549" t="s">
        <v>21</v>
      </c>
      <c r="B549" t="s">
        <v>56</v>
      </c>
      <c r="C549" t="s">
        <v>28</v>
      </c>
      <c r="D549">
        <v>7580</v>
      </c>
    </row>
    <row r="550" spans="1:4" x14ac:dyDescent="0.3">
      <c r="A550" t="s">
        <v>155</v>
      </c>
      <c r="B550" t="s">
        <v>56</v>
      </c>
      <c r="C550" t="s">
        <v>28</v>
      </c>
      <c r="D550">
        <v>7710</v>
      </c>
    </row>
    <row r="551" spans="1:4" x14ac:dyDescent="0.3">
      <c r="A551" t="s">
        <v>156</v>
      </c>
      <c r="B551" t="s">
        <v>56</v>
      </c>
      <c r="C551" t="s">
        <v>28</v>
      </c>
      <c r="D551">
        <v>7840</v>
      </c>
    </row>
    <row r="552" spans="1:4" x14ac:dyDescent="0.3">
      <c r="A552" t="s">
        <v>96</v>
      </c>
      <c r="B552" t="s">
        <v>57</v>
      </c>
      <c r="C552" t="s">
        <v>28</v>
      </c>
      <c r="D552">
        <v>4219</v>
      </c>
    </row>
    <row r="553" spans="1:4" x14ac:dyDescent="0.3">
      <c r="A553" t="s">
        <v>99</v>
      </c>
      <c r="B553" t="s">
        <v>57</v>
      </c>
      <c r="C553" t="s">
        <v>28</v>
      </c>
      <c r="D553">
        <v>4530</v>
      </c>
    </row>
    <row r="554" spans="1:4" x14ac:dyDescent="0.3">
      <c r="A554" t="s">
        <v>102</v>
      </c>
      <c r="B554" t="s">
        <v>57</v>
      </c>
      <c r="C554" t="s">
        <v>28</v>
      </c>
      <c r="D554">
        <v>4799</v>
      </c>
    </row>
    <row r="555" spans="1:4" x14ac:dyDescent="0.3">
      <c r="A555" t="s">
        <v>108</v>
      </c>
      <c r="B555" t="s">
        <v>57</v>
      </c>
      <c r="C555" t="s">
        <v>28</v>
      </c>
      <c r="D555">
        <v>5047</v>
      </c>
    </row>
    <row r="556" spans="1:4" x14ac:dyDescent="0.3">
      <c r="A556" t="s">
        <v>112</v>
      </c>
      <c r="B556" t="s">
        <v>57</v>
      </c>
      <c r="C556" t="s">
        <v>28</v>
      </c>
      <c r="D556">
        <v>5290</v>
      </c>
    </row>
    <row r="557" spans="1:4" x14ac:dyDescent="0.3">
      <c r="A557" t="s">
        <v>117</v>
      </c>
      <c r="B557" t="s">
        <v>57</v>
      </c>
      <c r="C557" t="s">
        <v>28</v>
      </c>
      <c r="D557">
        <v>5564</v>
      </c>
    </row>
    <row r="558" spans="1:4" x14ac:dyDescent="0.3">
      <c r="A558" t="s">
        <v>121</v>
      </c>
      <c r="B558" t="s">
        <v>57</v>
      </c>
      <c r="C558" t="s">
        <v>28</v>
      </c>
      <c r="D558">
        <v>5823</v>
      </c>
    </row>
    <row r="559" spans="1:4" x14ac:dyDescent="0.3">
      <c r="A559" t="s">
        <v>124</v>
      </c>
      <c r="B559" t="s">
        <v>57</v>
      </c>
      <c r="C559" t="s">
        <v>28</v>
      </c>
      <c r="D559">
        <v>6047</v>
      </c>
    </row>
    <row r="560" spans="1:4" x14ac:dyDescent="0.3">
      <c r="A560" t="s">
        <v>126</v>
      </c>
      <c r="B560" t="s">
        <v>57</v>
      </c>
      <c r="C560" t="s">
        <v>28</v>
      </c>
      <c r="D560">
        <v>6350</v>
      </c>
    </row>
    <row r="561" spans="1:4" x14ac:dyDescent="0.3">
      <c r="A561" t="s">
        <v>129</v>
      </c>
      <c r="B561" t="s">
        <v>57</v>
      </c>
      <c r="C561" t="s">
        <v>28</v>
      </c>
      <c r="D561">
        <v>6596</v>
      </c>
    </row>
    <row r="562" spans="1:4" x14ac:dyDescent="0.3">
      <c r="A562" t="s">
        <v>133</v>
      </c>
      <c r="B562" t="s">
        <v>57</v>
      </c>
      <c r="C562" t="s">
        <v>28</v>
      </c>
      <c r="D562">
        <v>6847</v>
      </c>
    </row>
    <row r="563" spans="1:4" x14ac:dyDescent="0.3">
      <c r="A563" t="s">
        <v>138</v>
      </c>
      <c r="B563" t="s">
        <v>57</v>
      </c>
      <c r="C563" t="s">
        <v>28</v>
      </c>
      <c r="D563">
        <v>7072</v>
      </c>
    </row>
    <row r="564" spans="1:4" x14ac:dyDescent="0.3">
      <c r="A564" t="s">
        <v>141</v>
      </c>
      <c r="B564" t="s">
        <v>57</v>
      </c>
      <c r="C564" t="s">
        <v>28</v>
      </c>
      <c r="D564">
        <v>7312</v>
      </c>
    </row>
    <row r="565" spans="1:4" x14ac:dyDescent="0.3">
      <c r="A565" t="s">
        <v>144</v>
      </c>
      <c r="B565" t="s">
        <v>57</v>
      </c>
      <c r="C565" t="s">
        <v>28</v>
      </c>
      <c r="D565">
        <v>7558</v>
      </c>
    </row>
    <row r="566" spans="1:4" x14ac:dyDescent="0.3">
      <c r="A566" t="s">
        <v>147</v>
      </c>
      <c r="B566" t="s">
        <v>57</v>
      </c>
      <c r="C566" t="s">
        <v>28</v>
      </c>
      <c r="D566">
        <v>7809</v>
      </c>
    </row>
    <row r="567" spans="1:4" x14ac:dyDescent="0.3">
      <c r="A567" t="s">
        <v>150</v>
      </c>
      <c r="B567" t="s">
        <v>57</v>
      </c>
      <c r="C567" t="s">
        <v>28</v>
      </c>
      <c r="D567">
        <v>8065</v>
      </c>
    </row>
    <row r="568" spans="1:4" x14ac:dyDescent="0.3">
      <c r="A568" t="s">
        <v>17</v>
      </c>
      <c r="B568" t="s">
        <v>57</v>
      </c>
      <c r="C568" t="s">
        <v>28</v>
      </c>
      <c r="D568">
        <v>8326</v>
      </c>
    </row>
    <row r="569" spans="1:4" x14ac:dyDescent="0.3">
      <c r="A569" t="s">
        <v>18</v>
      </c>
      <c r="B569" t="s">
        <v>57</v>
      </c>
      <c r="C569" t="s">
        <v>28</v>
      </c>
      <c r="D569">
        <v>8592</v>
      </c>
    </row>
    <row r="570" spans="1:4" x14ac:dyDescent="0.3">
      <c r="A570" t="s">
        <v>19</v>
      </c>
      <c r="B570" t="s">
        <v>57</v>
      </c>
      <c r="C570" t="s">
        <v>28</v>
      </c>
      <c r="D570">
        <v>8863</v>
      </c>
    </row>
    <row r="571" spans="1:4" x14ac:dyDescent="0.3">
      <c r="A571" t="s">
        <v>20</v>
      </c>
      <c r="B571" t="s">
        <v>57</v>
      </c>
      <c r="C571" t="s">
        <v>28</v>
      </c>
      <c r="D571">
        <v>9139</v>
      </c>
    </row>
    <row r="572" spans="1:4" x14ac:dyDescent="0.3">
      <c r="A572" t="s">
        <v>21</v>
      </c>
      <c r="B572" t="s">
        <v>57</v>
      </c>
      <c r="C572" t="s">
        <v>28</v>
      </c>
      <c r="D572">
        <v>9420</v>
      </c>
    </row>
    <row r="573" spans="1:4" x14ac:dyDescent="0.3">
      <c r="A573" t="s">
        <v>155</v>
      </c>
      <c r="B573" t="s">
        <v>57</v>
      </c>
      <c r="C573" t="s">
        <v>28</v>
      </c>
      <c r="D573">
        <v>9706</v>
      </c>
    </row>
    <row r="574" spans="1:4" x14ac:dyDescent="0.3">
      <c r="A574" t="s">
        <v>156</v>
      </c>
      <c r="B574" t="s">
        <v>57</v>
      </c>
      <c r="C574" t="s">
        <v>28</v>
      </c>
      <c r="D574">
        <v>9997</v>
      </c>
    </row>
    <row r="575" spans="1:4" x14ac:dyDescent="0.3">
      <c r="A575" t="s">
        <v>96</v>
      </c>
      <c r="B575" t="s">
        <v>58</v>
      </c>
      <c r="C575" t="s">
        <v>104</v>
      </c>
      <c r="D575">
        <v>163</v>
      </c>
    </row>
    <row r="576" spans="1:4" x14ac:dyDescent="0.3">
      <c r="A576" t="s">
        <v>99</v>
      </c>
      <c r="B576" t="s">
        <v>58</v>
      </c>
      <c r="C576" t="s">
        <v>104</v>
      </c>
      <c r="D576">
        <v>168</v>
      </c>
    </row>
    <row r="577" spans="1:4" x14ac:dyDescent="0.3">
      <c r="A577" t="s">
        <v>102</v>
      </c>
      <c r="B577" t="s">
        <v>58</v>
      </c>
      <c r="C577" t="s">
        <v>104</v>
      </c>
      <c r="D577">
        <v>173</v>
      </c>
    </row>
    <row r="578" spans="1:4" x14ac:dyDescent="0.3">
      <c r="A578" t="s">
        <v>108</v>
      </c>
      <c r="B578" t="s">
        <v>58</v>
      </c>
      <c r="C578" t="s">
        <v>104</v>
      </c>
      <c r="D578">
        <v>178</v>
      </c>
    </row>
    <row r="579" spans="1:4" x14ac:dyDescent="0.3">
      <c r="A579" t="s">
        <v>112</v>
      </c>
      <c r="B579" t="s">
        <v>58</v>
      </c>
      <c r="C579" t="s">
        <v>104</v>
      </c>
      <c r="D579">
        <v>183</v>
      </c>
    </row>
    <row r="580" spans="1:4" x14ac:dyDescent="0.3">
      <c r="A580" t="s">
        <v>117</v>
      </c>
      <c r="B580" t="s">
        <v>58</v>
      </c>
      <c r="C580" t="s">
        <v>104</v>
      </c>
      <c r="D580">
        <v>188</v>
      </c>
    </row>
    <row r="581" spans="1:4" x14ac:dyDescent="0.3">
      <c r="A581" t="s">
        <v>121</v>
      </c>
      <c r="B581" t="s">
        <v>58</v>
      </c>
      <c r="C581" t="s">
        <v>104</v>
      </c>
      <c r="D581">
        <v>193</v>
      </c>
    </row>
    <row r="582" spans="1:4" x14ac:dyDescent="0.3">
      <c r="A582" t="s">
        <v>124</v>
      </c>
      <c r="B582" t="s">
        <v>58</v>
      </c>
      <c r="C582" t="s">
        <v>104</v>
      </c>
      <c r="D582">
        <v>198</v>
      </c>
    </row>
    <row r="583" spans="1:4" x14ac:dyDescent="0.3">
      <c r="A583" t="s">
        <v>126</v>
      </c>
      <c r="B583" t="s">
        <v>58</v>
      </c>
      <c r="C583" t="s">
        <v>104</v>
      </c>
      <c r="D583">
        <v>203</v>
      </c>
    </row>
    <row r="584" spans="1:4" x14ac:dyDescent="0.3">
      <c r="A584" t="s">
        <v>129</v>
      </c>
      <c r="B584" t="s">
        <v>58</v>
      </c>
      <c r="C584" t="s">
        <v>104</v>
      </c>
      <c r="D584">
        <v>208</v>
      </c>
    </row>
    <row r="585" spans="1:4" x14ac:dyDescent="0.3">
      <c r="A585" t="s">
        <v>133</v>
      </c>
      <c r="B585" t="s">
        <v>58</v>
      </c>
      <c r="C585" t="s">
        <v>104</v>
      </c>
      <c r="D585">
        <v>213</v>
      </c>
    </row>
    <row r="586" spans="1:4" x14ac:dyDescent="0.3">
      <c r="A586" t="s">
        <v>138</v>
      </c>
      <c r="B586" t="s">
        <v>58</v>
      </c>
      <c r="C586" t="s">
        <v>104</v>
      </c>
      <c r="D586">
        <v>218</v>
      </c>
    </row>
    <row r="587" spans="1:4" x14ac:dyDescent="0.3">
      <c r="A587" t="s">
        <v>141</v>
      </c>
      <c r="B587" t="s">
        <v>58</v>
      </c>
      <c r="C587" t="s">
        <v>104</v>
      </c>
      <c r="D587">
        <v>223</v>
      </c>
    </row>
    <row r="588" spans="1:4" x14ac:dyDescent="0.3">
      <c r="A588" t="s">
        <v>144</v>
      </c>
      <c r="B588" t="s">
        <v>58</v>
      </c>
      <c r="C588" t="s">
        <v>104</v>
      </c>
      <c r="D588">
        <v>228</v>
      </c>
    </row>
    <row r="589" spans="1:4" x14ac:dyDescent="0.3">
      <c r="A589" t="s">
        <v>147</v>
      </c>
      <c r="B589" t="s">
        <v>58</v>
      </c>
      <c r="C589" t="s">
        <v>104</v>
      </c>
      <c r="D589">
        <v>233</v>
      </c>
    </row>
    <row r="590" spans="1:4" x14ac:dyDescent="0.3">
      <c r="A590" t="s">
        <v>150</v>
      </c>
      <c r="B590" t="s">
        <v>58</v>
      </c>
      <c r="C590" t="s">
        <v>104</v>
      </c>
      <c r="D590">
        <v>238</v>
      </c>
    </row>
    <row r="591" spans="1:4" x14ac:dyDescent="0.3">
      <c r="A591" t="s">
        <v>17</v>
      </c>
      <c r="B591" t="s">
        <v>58</v>
      </c>
      <c r="C591" t="s">
        <v>104</v>
      </c>
      <c r="D591">
        <v>243</v>
      </c>
    </row>
    <row r="592" spans="1:4" x14ac:dyDescent="0.3">
      <c r="A592" t="s">
        <v>18</v>
      </c>
      <c r="B592" t="s">
        <v>58</v>
      </c>
      <c r="C592" t="s">
        <v>104</v>
      </c>
      <c r="D592">
        <v>248</v>
      </c>
    </row>
    <row r="593" spans="1:4" x14ac:dyDescent="0.3">
      <c r="A593" t="s">
        <v>19</v>
      </c>
      <c r="B593" t="s">
        <v>58</v>
      </c>
      <c r="C593" t="s">
        <v>104</v>
      </c>
      <c r="D593">
        <v>253</v>
      </c>
    </row>
    <row r="594" spans="1:4" x14ac:dyDescent="0.3">
      <c r="A594" t="s">
        <v>20</v>
      </c>
      <c r="B594" t="s">
        <v>58</v>
      </c>
      <c r="C594" t="s">
        <v>104</v>
      </c>
      <c r="D594">
        <v>258</v>
      </c>
    </row>
    <row r="595" spans="1:4" x14ac:dyDescent="0.3">
      <c r="A595" t="s">
        <v>21</v>
      </c>
      <c r="B595" t="s">
        <v>58</v>
      </c>
      <c r="C595" t="s">
        <v>104</v>
      </c>
      <c r="D595">
        <v>263</v>
      </c>
    </row>
    <row r="596" spans="1:4" x14ac:dyDescent="0.3">
      <c r="A596" t="s">
        <v>155</v>
      </c>
      <c r="B596" t="s">
        <v>58</v>
      </c>
      <c r="C596" t="s">
        <v>104</v>
      </c>
      <c r="D596">
        <v>268</v>
      </c>
    </row>
    <row r="597" spans="1:4" x14ac:dyDescent="0.3">
      <c r="A597" t="s">
        <v>156</v>
      </c>
      <c r="B597" t="s">
        <v>58</v>
      </c>
      <c r="C597" t="s">
        <v>104</v>
      </c>
      <c r="D597">
        <v>273</v>
      </c>
    </row>
    <row r="598" spans="1:4" x14ac:dyDescent="0.3">
      <c r="A598" t="s">
        <v>96</v>
      </c>
      <c r="B598" t="s">
        <v>59</v>
      </c>
      <c r="C598" t="s">
        <v>40</v>
      </c>
      <c r="D598">
        <v>14765</v>
      </c>
    </row>
    <row r="599" spans="1:4" x14ac:dyDescent="0.3">
      <c r="A599" t="s">
        <v>99</v>
      </c>
      <c r="B599" t="s">
        <v>59</v>
      </c>
      <c r="C599" t="s">
        <v>40</v>
      </c>
      <c r="D599">
        <v>15258</v>
      </c>
    </row>
    <row r="600" spans="1:4" x14ac:dyDescent="0.3">
      <c r="A600" t="s">
        <v>102</v>
      </c>
      <c r="B600" t="s">
        <v>59</v>
      </c>
      <c r="C600" t="s">
        <v>40</v>
      </c>
      <c r="D600">
        <v>15751</v>
      </c>
    </row>
    <row r="601" spans="1:4" x14ac:dyDescent="0.3">
      <c r="A601" t="s">
        <v>108</v>
      </c>
      <c r="B601" t="s">
        <v>59</v>
      </c>
      <c r="C601" t="s">
        <v>40</v>
      </c>
      <c r="D601">
        <v>16244</v>
      </c>
    </row>
    <row r="602" spans="1:4" x14ac:dyDescent="0.3">
      <c r="A602" t="s">
        <v>112</v>
      </c>
      <c r="B602" t="s">
        <v>59</v>
      </c>
      <c r="C602" t="s">
        <v>40</v>
      </c>
      <c r="D602">
        <v>16737</v>
      </c>
    </row>
    <row r="603" spans="1:4" x14ac:dyDescent="0.3">
      <c r="A603" t="s">
        <v>117</v>
      </c>
      <c r="B603" t="s">
        <v>59</v>
      </c>
      <c r="C603" t="s">
        <v>40</v>
      </c>
      <c r="D603">
        <v>17230</v>
      </c>
    </row>
    <row r="604" spans="1:4" x14ac:dyDescent="0.3">
      <c r="A604" t="s">
        <v>121</v>
      </c>
      <c r="B604" t="s">
        <v>59</v>
      </c>
      <c r="C604" t="s">
        <v>40</v>
      </c>
      <c r="D604">
        <v>17723</v>
      </c>
    </row>
    <row r="605" spans="1:4" x14ac:dyDescent="0.3">
      <c r="A605" t="s">
        <v>124</v>
      </c>
      <c r="B605" t="s">
        <v>59</v>
      </c>
      <c r="C605" t="s">
        <v>40</v>
      </c>
      <c r="D605">
        <v>18216</v>
      </c>
    </row>
    <row r="606" spans="1:4" x14ac:dyDescent="0.3">
      <c r="A606" t="s">
        <v>126</v>
      </c>
      <c r="B606" t="s">
        <v>59</v>
      </c>
      <c r="C606" t="s">
        <v>40</v>
      </c>
      <c r="D606">
        <v>18709</v>
      </c>
    </row>
    <row r="607" spans="1:4" x14ac:dyDescent="0.3">
      <c r="A607" t="s">
        <v>129</v>
      </c>
      <c r="B607" t="s">
        <v>59</v>
      </c>
      <c r="C607" t="s">
        <v>40</v>
      </c>
      <c r="D607">
        <v>19202</v>
      </c>
    </row>
    <row r="608" spans="1:4" x14ac:dyDescent="0.3">
      <c r="A608" t="s">
        <v>133</v>
      </c>
      <c r="B608" t="s">
        <v>59</v>
      </c>
      <c r="C608" t="s">
        <v>40</v>
      </c>
      <c r="D608">
        <v>19695</v>
      </c>
    </row>
    <row r="609" spans="1:4" x14ac:dyDescent="0.3">
      <c r="A609" t="s">
        <v>138</v>
      </c>
      <c r="B609" t="s">
        <v>59</v>
      </c>
      <c r="C609" t="s">
        <v>40</v>
      </c>
      <c r="D609">
        <v>20188</v>
      </c>
    </row>
    <row r="610" spans="1:4" x14ac:dyDescent="0.3">
      <c r="A610" t="s">
        <v>141</v>
      </c>
      <c r="B610" t="s">
        <v>59</v>
      </c>
      <c r="C610" t="s">
        <v>40</v>
      </c>
      <c r="D610">
        <v>20681</v>
      </c>
    </row>
    <row r="611" spans="1:4" x14ac:dyDescent="0.3">
      <c r="A611" t="s">
        <v>144</v>
      </c>
      <c r="B611" t="s">
        <v>59</v>
      </c>
      <c r="C611" t="s">
        <v>40</v>
      </c>
      <c r="D611">
        <v>21174</v>
      </c>
    </row>
    <row r="612" spans="1:4" x14ac:dyDescent="0.3">
      <c r="A612" t="s">
        <v>147</v>
      </c>
      <c r="B612" t="s">
        <v>59</v>
      </c>
      <c r="C612" t="s">
        <v>40</v>
      </c>
      <c r="D612">
        <v>21667</v>
      </c>
    </row>
    <row r="613" spans="1:4" x14ac:dyDescent="0.3">
      <c r="A613" t="s">
        <v>150</v>
      </c>
      <c r="B613" t="s">
        <v>59</v>
      </c>
      <c r="C613" t="s">
        <v>40</v>
      </c>
      <c r="D613">
        <v>22160</v>
      </c>
    </row>
    <row r="614" spans="1:4" x14ac:dyDescent="0.3">
      <c r="A614" t="s">
        <v>17</v>
      </c>
      <c r="B614" t="s">
        <v>59</v>
      </c>
      <c r="C614" t="s">
        <v>40</v>
      </c>
      <c r="D614">
        <v>22653</v>
      </c>
    </row>
    <row r="615" spans="1:4" x14ac:dyDescent="0.3">
      <c r="A615" t="s">
        <v>18</v>
      </c>
      <c r="B615" t="s">
        <v>59</v>
      </c>
      <c r="C615" t="s">
        <v>40</v>
      </c>
      <c r="D615">
        <v>23146</v>
      </c>
    </row>
    <row r="616" spans="1:4" x14ac:dyDescent="0.3">
      <c r="A616" t="s">
        <v>19</v>
      </c>
      <c r="B616" t="s">
        <v>59</v>
      </c>
      <c r="C616" t="s">
        <v>40</v>
      </c>
      <c r="D616">
        <v>23639</v>
      </c>
    </row>
    <row r="617" spans="1:4" x14ac:dyDescent="0.3">
      <c r="A617" t="s">
        <v>20</v>
      </c>
      <c r="B617" t="s">
        <v>59</v>
      </c>
      <c r="C617" t="s">
        <v>40</v>
      </c>
      <c r="D617">
        <v>24132</v>
      </c>
    </row>
    <row r="618" spans="1:4" x14ac:dyDescent="0.3">
      <c r="A618" t="s">
        <v>21</v>
      </c>
      <c r="B618" t="s">
        <v>59</v>
      </c>
      <c r="C618" t="s">
        <v>40</v>
      </c>
      <c r="D618">
        <v>24625</v>
      </c>
    </row>
    <row r="619" spans="1:4" x14ac:dyDescent="0.3">
      <c r="A619" t="s">
        <v>155</v>
      </c>
      <c r="B619" t="s">
        <v>59</v>
      </c>
      <c r="C619" t="s">
        <v>40</v>
      </c>
      <c r="D619">
        <v>25118</v>
      </c>
    </row>
    <row r="620" spans="1:4" x14ac:dyDescent="0.3">
      <c r="A620" t="s">
        <v>156</v>
      </c>
      <c r="B620" t="s">
        <v>59</v>
      </c>
      <c r="C620" t="s">
        <v>40</v>
      </c>
      <c r="D620">
        <v>25611</v>
      </c>
    </row>
    <row r="621" spans="1:4" x14ac:dyDescent="0.3">
      <c r="A621" t="s">
        <v>96</v>
      </c>
      <c r="B621" t="s">
        <v>60</v>
      </c>
      <c r="C621" t="s">
        <v>40</v>
      </c>
      <c r="D621">
        <v>1215</v>
      </c>
    </row>
    <row r="622" spans="1:4" x14ac:dyDescent="0.3">
      <c r="A622" t="s">
        <v>99</v>
      </c>
      <c r="B622" t="s">
        <v>60</v>
      </c>
      <c r="C622" t="s">
        <v>40</v>
      </c>
      <c r="D622">
        <v>1245</v>
      </c>
    </row>
    <row r="623" spans="1:4" x14ac:dyDescent="0.3">
      <c r="A623" t="s">
        <v>102</v>
      </c>
      <c r="B623" t="s">
        <v>60</v>
      </c>
      <c r="C623" t="s">
        <v>40</v>
      </c>
      <c r="D623">
        <v>1275</v>
      </c>
    </row>
    <row r="624" spans="1:4" x14ac:dyDescent="0.3">
      <c r="A624" t="s">
        <v>108</v>
      </c>
      <c r="B624" t="s">
        <v>60</v>
      </c>
      <c r="C624" t="s">
        <v>40</v>
      </c>
      <c r="D624">
        <v>1305</v>
      </c>
    </row>
    <row r="625" spans="1:4" x14ac:dyDescent="0.3">
      <c r="A625" t="s">
        <v>112</v>
      </c>
      <c r="B625" t="s">
        <v>60</v>
      </c>
      <c r="C625" t="s">
        <v>40</v>
      </c>
      <c r="D625">
        <v>1335</v>
      </c>
    </row>
    <row r="626" spans="1:4" x14ac:dyDescent="0.3">
      <c r="A626" t="s">
        <v>117</v>
      </c>
      <c r="B626" t="s">
        <v>60</v>
      </c>
      <c r="C626" t="s">
        <v>40</v>
      </c>
      <c r="D626">
        <v>1365</v>
      </c>
    </row>
    <row r="627" spans="1:4" x14ac:dyDescent="0.3">
      <c r="A627" t="s">
        <v>121</v>
      </c>
      <c r="B627" t="s">
        <v>60</v>
      </c>
      <c r="C627" t="s">
        <v>40</v>
      </c>
      <c r="D627">
        <v>1395</v>
      </c>
    </row>
    <row r="628" spans="1:4" x14ac:dyDescent="0.3">
      <c r="A628" t="s">
        <v>124</v>
      </c>
      <c r="B628" t="s">
        <v>60</v>
      </c>
      <c r="C628" t="s">
        <v>40</v>
      </c>
      <c r="D628">
        <v>1425</v>
      </c>
    </row>
    <row r="629" spans="1:4" x14ac:dyDescent="0.3">
      <c r="A629" t="s">
        <v>126</v>
      </c>
      <c r="B629" t="s">
        <v>60</v>
      </c>
      <c r="C629" t="s">
        <v>40</v>
      </c>
      <c r="D629">
        <v>1455</v>
      </c>
    </row>
    <row r="630" spans="1:4" x14ac:dyDescent="0.3">
      <c r="A630" t="s">
        <v>129</v>
      </c>
      <c r="B630" t="s">
        <v>60</v>
      </c>
      <c r="C630" t="s">
        <v>40</v>
      </c>
      <c r="D630">
        <v>1485</v>
      </c>
    </row>
    <row r="631" spans="1:4" x14ac:dyDescent="0.3">
      <c r="A631" t="s">
        <v>133</v>
      </c>
      <c r="B631" t="s">
        <v>60</v>
      </c>
      <c r="C631" t="s">
        <v>40</v>
      </c>
      <c r="D631">
        <v>1515</v>
      </c>
    </row>
    <row r="632" spans="1:4" x14ac:dyDescent="0.3">
      <c r="A632" t="s">
        <v>138</v>
      </c>
      <c r="B632" t="s">
        <v>60</v>
      </c>
      <c r="C632" t="s">
        <v>40</v>
      </c>
      <c r="D632">
        <v>1545</v>
      </c>
    </row>
    <row r="633" spans="1:4" x14ac:dyDescent="0.3">
      <c r="A633" t="s">
        <v>141</v>
      </c>
      <c r="B633" t="s">
        <v>60</v>
      </c>
      <c r="C633" t="s">
        <v>40</v>
      </c>
      <c r="D633">
        <v>1575</v>
      </c>
    </row>
    <row r="634" spans="1:4" x14ac:dyDescent="0.3">
      <c r="A634" t="s">
        <v>144</v>
      </c>
      <c r="B634" t="s">
        <v>60</v>
      </c>
      <c r="C634" t="s">
        <v>40</v>
      </c>
      <c r="D634">
        <v>1605</v>
      </c>
    </row>
    <row r="635" spans="1:4" x14ac:dyDescent="0.3">
      <c r="A635" t="s">
        <v>147</v>
      </c>
      <c r="B635" t="s">
        <v>60</v>
      </c>
      <c r="C635" t="s">
        <v>40</v>
      </c>
      <c r="D635">
        <v>1635</v>
      </c>
    </row>
    <row r="636" spans="1:4" x14ac:dyDescent="0.3">
      <c r="A636" t="s">
        <v>150</v>
      </c>
      <c r="B636" t="s">
        <v>60</v>
      </c>
      <c r="C636" t="s">
        <v>40</v>
      </c>
      <c r="D636">
        <v>1665</v>
      </c>
    </row>
    <row r="637" spans="1:4" x14ac:dyDescent="0.3">
      <c r="A637" t="s">
        <v>17</v>
      </c>
      <c r="B637" t="s">
        <v>60</v>
      </c>
      <c r="C637" t="s">
        <v>40</v>
      </c>
      <c r="D637">
        <v>1695</v>
      </c>
    </row>
    <row r="638" spans="1:4" x14ac:dyDescent="0.3">
      <c r="A638" t="s">
        <v>18</v>
      </c>
      <c r="B638" t="s">
        <v>60</v>
      </c>
      <c r="C638" t="s">
        <v>40</v>
      </c>
      <c r="D638">
        <v>1725</v>
      </c>
    </row>
    <row r="639" spans="1:4" x14ac:dyDescent="0.3">
      <c r="A639" t="s">
        <v>19</v>
      </c>
      <c r="B639" t="s">
        <v>60</v>
      </c>
      <c r="C639" t="s">
        <v>40</v>
      </c>
      <c r="D639">
        <v>1755</v>
      </c>
    </row>
    <row r="640" spans="1:4" x14ac:dyDescent="0.3">
      <c r="A640" t="s">
        <v>20</v>
      </c>
      <c r="B640" t="s">
        <v>60</v>
      </c>
      <c r="C640" t="s">
        <v>40</v>
      </c>
      <c r="D640">
        <v>1785</v>
      </c>
    </row>
    <row r="641" spans="1:4" x14ac:dyDescent="0.3">
      <c r="A641" t="s">
        <v>21</v>
      </c>
      <c r="B641" t="s">
        <v>60</v>
      </c>
      <c r="C641" t="s">
        <v>40</v>
      </c>
      <c r="D641">
        <v>1815</v>
      </c>
    </row>
    <row r="642" spans="1:4" x14ac:dyDescent="0.3">
      <c r="A642" t="s">
        <v>155</v>
      </c>
      <c r="B642" t="s">
        <v>60</v>
      </c>
      <c r="C642" t="s">
        <v>40</v>
      </c>
      <c r="D642">
        <v>1845</v>
      </c>
    </row>
    <row r="643" spans="1:4" x14ac:dyDescent="0.3">
      <c r="A643" t="s">
        <v>156</v>
      </c>
      <c r="B643" t="s">
        <v>60</v>
      </c>
      <c r="C643" t="s">
        <v>40</v>
      </c>
      <c r="D643">
        <v>1875</v>
      </c>
    </row>
    <row r="644" spans="1:4" x14ac:dyDescent="0.3">
      <c r="A644" t="s">
        <v>96</v>
      </c>
      <c r="B644" t="s">
        <v>61</v>
      </c>
      <c r="C644" t="s">
        <v>33</v>
      </c>
      <c r="D644">
        <v>4931</v>
      </c>
    </row>
    <row r="645" spans="1:4" x14ac:dyDescent="0.3">
      <c r="A645" t="s">
        <v>99</v>
      </c>
      <c r="B645" t="s">
        <v>61</v>
      </c>
      <c r="C645" t="s">
        <v>33</v>
      </c>
      <c r="D645">
        <v>5082</v>
      </c>
    </row>
    <row r="646" spans="1:4" x14ac:dyDescent="0.3">
      <c r="A646" t="s">
        <v>102</v>
      </c>
      <c r="B646" t="s">
        <v>61</v>
      </c>
      <c r="C646" t="s">
        <v>33</v>
      </c>
      <c r="D646">
        <v>5233</v>
      </c>
    </row>
    <row r="647" spans="1:4" x14ac:dyDescent="0.3">
      <c r="A647" t="s">
        <v>108</v>
      </c>
      <c r="B647" t="s">
        <v>61</v>
      </c>
      <c r="C647" t="s">
        <v>33</v>
      </c>
      <c r="D647">
        <v>5384</v>
      </c>
    </row>
    <row r="648" spans="1:4" x14ac:dyDescent="0.3">
      <c r="A648" t="s">
        <v>112</v>
      </c>
      <c r="B648" t="s">
        <v>61</v>
      </c>
      <c r="C648" t="s">
        <v>33</v>
      </c>
      <c r="D648">
        <v>5535</v>
      </c>
    </row>
    <row r="649" spans="1:4" x14ac:dyDescent="0.3">
      <c r="A649" t="s">
        <v>117</v>
      </c>
      <c r="B649" t="s">
        <v>61</v>
      </c>
      <c r="C649" t="s">
        <v>33</v>
      </c>
      <c r="D649">
        <v>5686</v>
      </c>
    </row>
    <row r="650" spans="1:4" x14ac:dyDescent="0.3">
      <c r="A650" t="s">
        <v>121</v>
      </c>
      <c r="B650" t="s">
        <v>61</v>
      </c>
      <c r="C650" t="s">
        <v>33</v>
      </c>
      <c r="D650">
        <v>5837</v>
      </c>
    </row>
    <row r="651" spans="1:4" x14ac:dyDescent="0.3">
      <c r="A651" t="s">
        <v>124</v>
      </c>
      <c r="B651" t="s">
        <v>61</v>
      </c>
      <c r="C651" t="s">
        <v>33</v>
      </c>
      <c r="D651">
        <v>5988</v>
      </c>
    </row>
    <row r="652" spans="1:4" x14ac:dyDescent="0.3">
      <c r="A652" t="s">
        <v>126</v>
      </c>
      <c r="B652" t="s">
        <v>61</v>
      </c>
      <c r="C652" t="s">
        <v>33</v>
      </c>
      <c r="D652">
        <v>6139</v>
      </c>
    </row>
    <row r="653" spans="1:4" x14ac:dyDescent="0.3">
      <c r="A653" t="s">
        <v>129</v>
      </c>
      <c r="B653" t="s">
        <v>61</v>
      </c>
      <c r="C653" t="s">
        <v>33</v>
      </c>
      <c r="D653">
        <v>6290</v>
      </c>
    </row>
    <row r="654" spans="1:4" x14ac:dyDescent="0.3">
      <c r="A654" t="s">
        <v>133</v>
      </c>
      <c r="B654" t="s">
        <v>61</v>
      </c>
      <c r="C654" t="s">
        <v>33</v>
      </c>
      <c r="D654">
        <v>6441</v>
      </c>
    </row>
    <row r="655" spans="1:4" x14ac:dyDescent="0.3">
      <c r="A655" t="s">
        <v>138</v>
      </c>
      <c r="B655" t="s">
        <v>61</v>
      </c>
      <c r="C655" t="s">
        <v>33</v>
      </c>
      <c r="D655">
        <v>6592</v>
      </c>
    </row>
    <row r="656" spans="1:4" x14ac:dyDescent="0.3">
      <c r="A656" t="s">
        <v>141</v>
      </c>
      <c r="B656" t="s">
        <v>61</v>
      </c>
      <c r="C656" t="s">
        <v>33</v>
      </c>
      <c r="D656">
        <v>6743</v>
      </c>
    </row>
    <row r="657" spans="1:4" x14ac:dyDescent="0.3">
      <c r="A657" t="s">
        <v>144</v>
      </c>
      <c r="B657" t="s">
        <v>61</v>
      </c>
      <c r="C657" t="s">
        <v>33</v>
      </c>
      <c r="D657">
        <v>6894</v>
      </c>
    </row>
    <row r="658" spans="1:4" x14ac:dyDescent="0.3">
      <c r="A658" t="s">
        <v>147</v>
      </c>
      <c r="B658" t="s">
        <v>61</v>
      </c>
      <c r="C658" t="s">
        <v>33</v>
      </c>
      <c r="D658">
        <v>7045</v>
      </c>
    </row>
    <row r="659" spans="1:4" x14ac:dyDescent="0.3">
      <c r="A659" t="s">
        <v>150</v>
      </c>
      <c r="B659" t="s">
        <v>61</v>
      </c>
      <c r="C659" t="s">
        <v>33</v>
      </c>
      <c r="D659">
        <v>7196</v>
      </c>
    </row>
    <row r="660" spans="1:4" x14ac:dyDescent="0.3">
      <c r="A660" t="s">
        <v>17</v>
      </c>
      <c r="B660" t="s">
        <v>61</v>
      </c>
      <c r="C660" t="s">
        <v>33</v>
      </c>
      <c r="D660">
        <v>7347</v>
      </c>
    </row>
    <row r="661" spans="1:4" x14ac:dyDescent="0.3">
      <c r="A661" t="s">
        <v>18</v>
      </c>
      <c r="B661" t="s">
        <v>61</v>
      </c>
      <c r="C661" t="s">
        <v>33</v>
      </c>
      <c r="D661">
        <v>7498</v>
      </c>
    </row>
    <row r="662" spans="1:4" x14ac:dyDescent="0.3">
      <c r="A662" t="s">
        <v>19</v>
      </c>
      <c r="B662" t="s">
        <v>61</v>
      </c>
      <c r="C662" t="s">
        <v>33</v>
      </c>
      <c r="D662">
        <v>7649</v>
      </c>
    </row>
    <row r="663" spans="1:4" x14ac:dyDescent="0.3">
      <c r="A663" t="s">
        <v>20</v>
      </c>
      <c r="B663" t="s">
        <v>61</v>
      </c>
      <c r="C663" t="s">
        <v>33</v>
      </c>
      <c r="D663">
        <v>7800</v>
      </c>
    </row>
    <row r="664" spans="1:4" x14ac:dyDescent="0.3">
      <c r="A664" t="s">
        <v>21</v>
      </c>
      <c r="B664" t="s">
        <v>61</v>
      </c>
      <c r="C664" t="s">
        <v>33</v>
      </c>
      <c r="D664">
        <v>7951</v>
      </c>
    </row>
    <row r="665" spans="1:4" x14ac:dyDescent="0.3">
      <c r="A665" t="s">
        <v>155</v>
      </c>
      <c r="B665" t="s">
        <v>61</v>
      </c>
      <c r="C665" t="s">
        <v>33</v>
      </c>
      <c r="D665">
        <v>8102</v>
      </c>
    </row>
    <row r="666" spans="1:4" x14ac:dyDescent="0.3">
      <c r="A666" t="s">
        <v>156</v>
      </c>
      <c r="B666" t="s">
        <v>61</v>
      </c>
      <c r="C666" t="s">
        <v>33</v>
      </c>
      <c r="D666">
        <v>8253</v>
      </c>
    </row>
    <row r="667" spans="1:4" x14ac:dyDescent="0.3">
      <c r="A667" t="s">
        <v>96</v>
      </c>
      <c r="B667" t="s">
        <v>69</v>
      </c>
      <c r="C667" t="s">
        <v>40</v>
      </c>
      <c r="D667">
        <v>427</v>
      </c>
    </row>
    <row r="668" spans="1:4" x14ac:dyDescent="0.3">
      <c r="A668" t="s">
        <v>99</v>
      </c>
      <c r="B668" t="s">
        <v>69</v>
      </c>
      <c r="C668" t="s">
        <v>40</v>
      </c>
      <c r="D668">
        <v>441</v>
      </c>
    </row>
    <row r="669" spans="1:4" x14ac:dyDescent="0.3">
      <c r="A669" t="s">
        <v>102</v>
      </c>
      <c r="B669" t="s">
        <v>69</v>
      </c>
      <c r="C669" t="s">
        <v>40</v>
      </c>
      <c r="D669">
        <v>455</v>
      </c>
    </row>
    <row r="670" spans="1:4" x14ac:dyDescent="0.3">
      <c r="A670" t="s">
        <v>108</v>
      </c>
      <c r="B670" t="s">
        <v>69</v>
      </c>
      <c r="C670" t="s">
        <v>40</v>
      </c>
      <c r="D670">
        <v>469</v>
      </c>
    </row>
    <row r="671" spans="1:4" x14ac:dyDescent="0.3">
      <c r="A671" t="s">
        <v>112</v>
      </c>
      <c r="B671" t="s">
        <v>69</v>
      </c>
      <c r="C671" t="s">
        <v>40</v>
      </c>
      <c r="D671">
        <v>483</v>
      </c>
    </row>
    <row r="672" spans="1:4" x14ac:dyDescent="0.3">
      <c r="A672" t="s">
        <v>117</v>
      </c>
      <c r="B672" t="s">
        <v>69</v>
      </c>
      <c r="C672" t="s">
        <v>40</v>
      </c>
      <c r="D672">
        <v>497</v>
      </c>
    </row>
    <row r="673" spans="1:4" x14ac:dyDescent="0.3">
      <c r="A673" t="s">
        <v>121</v>
      </c>
      <c r="B673" t="s">
        <v>69</v>
      </c>
      <c r="C673" t="s">
        <v>40</v>
      </c>
      <c r="D673">
        <v>511</v>
      </c>
    </row>
    <row r="674" spans="1:4" x14ac:dyDescent="0.3">
      <c r="A674" t="s">
        <v>124</v>
      </c>
      <c r="B674" t="s">
        <v>69</v>
      </c>
      <c r="C674" t="s">
        <v>40</v>
      </c>
      <c r="D674">
        <v>525</v>
      </c>
    </row>
    <row r="675" spans="1:4" x14ac:dyDescent="0.3">
      <c r="A675" t="s">
        <v>126</v>
      </c>
      <c r="B675" t="s">
        <v>69</v>
      </c>
      <c r="C675" t="s">
        <v>40</v>
      </c>
      <c r="D675">
        <v>539</v>
      </c>
    </row>
    <row r="676" spans="1:4" x14ac:dyDescent="0.3">
      <c r="A676" t="s">
        <v>129</v>
      </c>
      <c r="B676" t="s">
        <v>69</v>
      </c>
      <c r="C676" t="s">
        <v>40</v>
      </c>
      <c r="D676">
        <v>553</v>
      </c>
    </row>
    <row r="677" spans="1:4" x14ac:dyDescent="0.3">
      <c r="A677" t="s">
        <v>133</v>
      </c>
      <c r="B677" t="s">
        <v>69</v>
      </c>
      <c r="C677" t="s">
        <v>40</v>
      </c>
      <c r="D677">
        <v>567</v>
      </c>
    </row>
    <row r="678" spans="1:4" x14ac:dyDescent="0.3">
      <c r="A678" t="s">
        <v>138</v>
      </c>
      <c r="B678" t="s">
        <v>69</v>
      </c>
      <c r="C678" t="s">
        <v>40</v>
      </c>
      <c r="D678">
        <v>581</v>
      </c>
    </row>
    <row r="679" spans="1:4" x14ac:dyDescent="0.3">
      <c r="A679" t="s">
        <v>141</v>
      </c>
      <c r="B679" t="s">
        <v>69</v>
      </c>
      <c r="C679" t="s">
        <v>40</v>
      </c>
      <c r="D679">
        <v>595</v>
      </c>
    </row>
    <row r="680" spans="1:4" x14ac:dyDescent="0.3">
      <c r="A680" t="s">
        <v>144</v>
      </c>
      <c r="B680" t="s">
        <v>69</v>
      </c>
      <c r="C680" t="s">
        <v>40</v>
      </c>
      <c r="D680">
        <v>609</v>
      </c>
    </row>
    <row r="681" spans="1:4" x14ac:dyDescent="0.3">
      <c r="A681" t="s">
        <v>147</v>
      </c>
      <c r="B681" t="s">
        <v>69</v>
      </c>
      <c r="C681" t="s">
        <v>40</v>
      </c>
      <c r="D681">
        <v>623</v>
      </c>
    </row>
    <row r="682" spans="1:4" x14ac:dyDescent="0.3">
      <c r="A682" t="s">
        <v>150</v>
      </c>
      <c r="B682" t="s">
        <v>69</v>
      </c>
      <c r="C682" t="s">
        <v>40</v>
      </c>
      <c r="D682">
        <v>637</v>
      </c>
    </row>
    <row r="683" spans="1:4" x14ac:dyDescent="0.3">
      <c r="A683" t="s">
        <v>17</v>
      </c>
      <c r="B683" t="s">
        <v>69</v>
      </c>
      <c r="C683" t="s">
        <v>40</v>
      </c>
      <c r="D683">
        <v>651</v>
      </c>
    </row>
    <row r="684" spans="1:4" x14ac:dyDescent="0.3">
      <c r="A684" t="s">
        <v>18</v>
      </c>
      <c r="B684" t="s">
        <v>69</v>
      </c>
      <c r="C684" t="s">
        <v>40</v>
      </c>
      <c r="D684">
        <v>665</v>
      </c>
    </row>
    <row r="685" spans="1:4" x14ac:dyDescent="0.3">
      <c r="A685" t="s">
        <v>19</v>
      </c>
      <c r="B685" t="s">
        <v>69</v>
      </c>
      <c r="C685" t="s">
        <v>40</v>
      </c>
      <c r="D685">
        <v>679</v>
      </c>
    </row>
    <row r="686" spans="1:4" x14ac:dyDescent="0.3">
      <c r="A686" t="s">
        <v>20</v>
      </c>
      <c r="B686" t="s">
        <v>69</v>
      </c>
      <c r="C686" t="s">
        <v>40</v>
      </c>
      <c r="D686">
        <v>693</v>
      </c>
    </row>
    <row r="687" spans="1:4" x14ac:dyDescent="0.3">
      <c r="A687" t="s">
        <v>21</v>
      </c>
      <c r="B687" t="s">
        <v>69</v>
      </c>
      <c r="C687" t="s">
        <v>40</v>
      </c>
      <c r="D687">
        <v>707</v>
      </c>
    </row>
    <row r="688" spans="1:4" x14ac:dyDescent="0.3">
      <c r="A688" t="s">
        <v>155</v>
      </c>
      <c r="B688" t="s">
        <v>69</v>
      </c>
      <c r="C688" t="s">
        <v>40</v>
      </c>
      <c r="D688">
        <v>721</v>
      </c>
    </row>
    <row r="689" spans="1:4" x14ac:dyDescent="0.3">
      <c r="A689" t="s">
        <v>156</v>
      </c>
      <c r="B689" t="s">
        <v>69</v>
      </c>
      <c r="C689" t="s">
        <v>40</v>
      </c>
      <c r="D689">
        <v>735</v>
      </c>
    </row>
  </sheetData>
  <autoFilter ref="A1:D6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Table 1</vt:lpstr>
      <vt:lpstr>Dash</vt:lpstr>
      <vt:lpstr>Sheet2</vt:lpstr>
      <vt:lpstr>Sheet4</vt:lpstr>
      <vt:lpstr>Sheet6</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
  <dcterms:created xsi:type="dcterms:W3CDTF">2026-06-10T17:01:22Z</dcterms:created>
  <dcterms:modified xsi:type="dcterms:W3CDTF">2026-10-13T13:37:39Z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2026-06-10T00:00:00Z</vt:filetime>
  </property>
  <property fmtid="{D5CDD505-2E9C-101B-9397-08002B2CF9AE}" pid="3" name="LastSaved">
    <vt:filetime>2026-06-10T00:00:00Z</vt:filetime>
  </property>
  <property fmtid="{D5CDD505-2E9C-101B-9397-08002B2CF9AE}" pid="4" name="Producer">
    <vt:lpwstr>iLovePDF</vt:lpwstr>
  </property>
</Properties>
</file>