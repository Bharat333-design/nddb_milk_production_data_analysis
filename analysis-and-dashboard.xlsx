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activeTab="3"/>
  </bookViews>
  <sheets>
    <sheet name="Original-Structure Data" sheetId="2" r:id="rId1"/>
    <sheet name="Re-structured Data" sheetId="1" r:id="rId2"/>
    <sheet name="Analysis" sheetId="3" r:id="rId3"/>
    <sheet name="Dashboard" sheetId="4" r:id="rId4"/>
  </sheets>
  <definedNames>
    <definedName name="Slicer_Region">#N/A</definedName>
    <definedName name="Slicer_State">#N/A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3" l="1"/>
  <c r="C7" i="3"/>
  <c r="F8" i="4"/>
  <c r="C8" i="3" l="1"/>
  <c r="AK49" i="4"/>
  <c r="AK50" i="4"/>
  <c r="AK51" i="4"/>
  <c r="AK52" i="4"/>
  <c r="AK53" i="4"/>
  <c r="AK54" i="4"/>
  <c r="AJ50" i="4"/>
  <c r="AJ51" i="4"/>
  <c r="AJ52" i="4"/>
  <c r="AJ53" i="4"/>
  <c r="AJ54" i="4"/>
  <c r="AJ49" i="4"/>
  <c r="AG50" i="4" l="1"/>
  <c r="AH50" i="4"/>
  <c r="AG51" i="4"/>
  <c r="AH51" i="4"/>
  <c r="AG52" i="4"/>
  <c r="AH52" i="4"/>
  <c r="AG53" i="4"/>
  <c r="AH53" i="4"/>
  <c r="AG54" i="4"/>
  <c r="AH54" i="4"/>
  <c r="AG55" i="4"/>
  <c r="AH55" i="4"/>
  <c r="AG56" i="4"/>
  <c r="AH56" i="4"/>
  <c r="AG57" i="4"/>
  <c r="AH57" i="4"/>
  <c r="AG58" i="4"/>
  <c r="AH58" i="4"/>
  <c r="AH49" i="4"/>
  <c r="AG49" i="4"/>
  <c r="P41" i="3"/>
  <c r="I8" i="4" s="1"/>
  <c r="S19" i="3"/>
  <c r="O8" i="4" l="1"/>
  <c r="L8" i="4"/>
  <c r="H2" i="1"/>
</calcChain>
</file>

<file path=xl/sharedStrings.xml><?xml version="1.0" encoding="utf-8"?>
<sst xmlns="http://schemas.openxmlformats.org/spreadsheetml/2006/main" count="2458" uniqueCount="130">
  <si>
    <t>Year</t>
  </si>
  <si>
    <t>State</t>
  </si>
  <si>
    <t>Region</t>
  </si>
  <si>
    <t>Milk</t>
  </si>
  <si>
    <t>2001-02</t>
  </si>
  <si>
    <t>Andhra Pradesh</t>
  </si>
  <si>
    <t>South India</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</si>
  <si>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</si>
  <si>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</si>
  <si>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</si>
  <si>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</si>
  <si>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</si>
  <si>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</si>
  <si>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</si>
  <si>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</si>
  <si>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</si>
  <si>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</si>
  <si>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</si>
  <si>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</si>
  <si>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</si>
  <si>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</si>
  <si>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</si>
  <si>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</si>
  <si>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</si>
  <si>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</si>
  <si>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</si>
  <si>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</si>
  <si>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</si>
  <si>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</si>
  <si>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Arunanchal Pradesh</t>
  </si>
  <si>
    <t>North East India</t>
  </si>
  <si>
    <t>Assam</t>
  </si>
  <si>
    <t>Bihar</t>
  </si>
  <si>
    <t>East India</t>
  </si>
  <si>
    <t>Chhattisgarh</t>
  </si>
  <si>
    <t>Central India</t>
  </si>
  <si>
    <t>Goa</t>
  </si>
  <si>
    <t>West India</t>
  </si>
  <si>
    <t>Gujarat</t>
  </si>
  <si>
    <t>Haryana</t>
  </si>
  <si>
    <t>North India</t>
  </si>
  <si>
    <t>Himachal Pradesh</t>
  </si>
  <si>
    <t>Jammu Kashmir</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</si>
  <si>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</si>
  <si>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</si>
  <si>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</si>
  <si>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</si>
  <si>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</si>
  <si>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</si>
  <si>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</si>
  <si>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</si>
  <si>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</si>
  <si>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</si>
  <si>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</si>
  <si>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</si>
  <si>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</si>
  <si>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</si>
  <si>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</si>
  <si>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</si>
  <si>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</si>
  <si>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</si>
  <si>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</si>
  <si>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Delhi</t>
  </si>
  <si>
    <t>2001-
02</t>
  </si>
  <si>
    <t>2002-
03</t>
  </si>
  <si>
    <t>2003-
04</t>
  </si>
  <si>
    <t>2004-
05</t>
  </si>
  <si>
    <t>2005-
06</t>
  </si>
  <si>
    <t>2006-
07</t>
  </si>
  <si>
    <t>2007-
08</t>
  </si>
  <si>
    <t>2008-
09</t>
  </si>
  <si>
    <t>2009-
10</t>
  </si>
  <si>
    <t>2010-
11</t>
  </si>
  <si>
    <t>2011-
12</t>
  </si>
  <si>
    <t>2012-
13</t>
  </si>
  <si>
    <t>2013-
14</t>
  </si>
  <si>
    <t>2014-
15</t>
  </si>
  <si>
    <t>2015-
16</t>
  </si>
  <si>
    <t>2016-
17</t>
  </si>
  <si>
    <t>2022-
23</t>
  </si>
  <si>
    <t>2023-
24</t>
  </si>
  <si>
    <t>Total</t>
  </si>
  <si>
    <t>Total Increase</t>
  </si>
  <si>
    <t>Ladakh</t>
  </si>
  <si>
    <t>Lakshadweep</t>
  </si>
  <si>
    <t>Island Territories</t>
  </si>
  <si>
    <t>All India</t>
  </si>
  <si>
    <t>North-East India</t>
  </si>
  <si>
    <t>J &amp; K</t>
  </si>
  <si>
    <t>Arunachal Pradesh</t>
  </si>
  <si>
    <t>D&amp;N Haveli</t>
  </si>
  <si>
    <t>Puducherry</t>
  </si>
  <si>
    <t>Chandigarh</t>
  </si>
  <si>
    <t xml:space="preserve">58.87
</t>
  </si>
  <si>
    <t>A&amp;N Islands</t>
  </si>
  <si>
    <t>Daman &amp; Diu</t>
  </si>
  <si>
    <t>Column1</t>
  </si>
  <si>
    <t>Total Growth</t>
  </si>
  <si>
    <t>Sum of Milk</t>
  </si>
  <si>
    <t>Row Labels</t>
  </si>
  <si>
    <t>Grand Total</t>
  </si>
  <si>
    <t>(All)</t>
  </si>
  <si>
    <t>Total Milk Production By States</t>
  </si>
  <si>
    <t>Total Milk Production By Regions</t>
  </si>
  <si>
    <t>Average of Total Growth</t>
  </si>
  <si>
    <t>Yearly Milk Production Trends</t>
  </si>
  <si>
    <t>Sum of Milk2</t>
  </si>
  <si>
    <t>Total Milk Production &amp; Growth</t>
  </si>
  <si>
    <t>Golden Dips and Crosses</t>
  </si>
  <si>
    <t>5 Year Rolling</t>
  </si>
  <si>
    <t>Rank</t>
  </si>
  <si>
    <t>National Share</t>
  </si>
  <si>
    <t>Annual growth</t>
  </si>
  <si>
    <t>Annual Growth Rate (%)</t>
  </si>
  <si>
    <t>5 Year Rolling Avg Growth Rate (%)</t>
  </si>
  <si>
    <t>YoY Growth Rate (%)</t>
  </si>
  <si>
    <t>Total Milk Production</t>
  </si>
  <si>
    <t>Milk (MT)</t>
  </si>
  <si>
    <t>Top Regions</t>
  </si>
  <si>
    <t>Other 24 States</t>
  </si>
  <si>
    <t>Column2</t>
  </si>
  <si>
    <t>Growth Rate</t>
  </si>
  <si>
    <t>Total Growth 2001-24</t>
  </si>
  <si>
    <t>Trend Analysis</t>
  </si>
  <si>
    <t>Regional Analysis</t>
  </si>
  <si>
    <t>India Milk Production Analysis 2001-24</t>
  </si>
  <si>
    <t>Annual Growth %</t>
  </si>
  <si>
    <t>National Share %</t>
  </si>
  <si>
    <t>Milk Production</t>
  </si>
  <si>
    <t>Top States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</si>
</sst>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theme="1"/>
      <name val="Calibri"/>
      <family val="2"/>
      <scheme val="minor"/>
    </font>
    <font>
      <sz val="10"/>
      <color rgb="FF000000"/>
      <name val="Times New Roman"/>
      <charset val="204"/>
    </font>
    <font>
      <sz val="10"/>
      <color rgb="FF000000"/>
      <name val="Times New Roman"/>
      <family val="1"/>
    </font>
    <font>
      <b/>
      <sz val="11"/>
      <color theme="5" tint="-0.249977111117893"/>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sz val="16"/>
      <color theme="0"/>
      <name val="Calibri"/>
      <family val="2"/>
      <scheme val="minor"/>
    </font>
    <font>
      <sz val="16"/>
      <color theme="1"/>
      <name val="Calibri"/>
      <family val="2"/>
      <scheme val="minor"/>
    </font>
    <font>
      <b/>
      <sz val="48"/>
      <color theme="0"/>
      <name val="Calibri"/>
      <family val="2"/>
      <scheme val="minor"/>
    </font>
    <font>
      <b/>
      <sz val="28"/>
      <color theme="1"/>
      <name val="Calibri"/>
      <family val="2"/>
      <scheme val="minor"/>
    </font>
    <font>
      <b/>
      <sz val="28"/>
      <color theme="0"/>
      <name val="Calibri"/>
      <family val="2"/>
      <scheme val="minor"/>
    </font>
  </fonts>
  <fills count="9">
    <fill>
      <patternFill patternType="none"/>
    </fill>
    <fill>
      <patternFill patternType="gray125"/>
    </fill>
    <fill>
      <patternFill patternType="solid">
        <fgColor rgb="FFFFFFCC"/>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59999389629810485"/>
        <bgColor indexed="64"/>
      </patternFill>
    </fill>
  </fills>
  <borders count="36">
    <border>
      <left/>
      <right/>
      <top/>
      <bottom/>
      <diagonal/>
    </border>
    <border>
      <left style="thin">
        <color rgb="FFB2B2B2"/>
      </left>
      <right style="thin">
        <color rgb="FFB2B2B2"/>
      </right>
      <top style="thin">
        <color rgb="FFB2B2B2"/>
      </top>
      <bottom style="thin">
        <color rgb="FFB2B2B2"/>
      </bottom>
      <diagonal/>
    </border>
    <border>
      <left style="thin">
        <color indexed="64"/>
      </left>
      <right/>
      <top/>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4" tint="0.39997558519241921"/>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style="medium">
        <color theme="1"/>
      </right>
      <top/>
      <bottom style="medium">
        <color theme="1"/>
      </bottom>
      <diagonal/>
    </border>
    <border>
      <left/>
      <right style="mediumDashed">
        <color theme="1"/>
      </right>
      <top/>
      <bottom/>
      <diagonal/>
    </border>
    <border>
      <left/>
      <right/>
      <top/>
      <bottom style="medium">
        <color theme="1"/>
      </bottom>
      <diagonal/>
    </border>
    <border>
      <left/>
      <right/>
      <top style="medium">
        <color theme="1"/>
      </top>
      <bottom/>
      <diagonal/>
    </border>
    <border>
      <left style="mediumDashed">
        <color theme="1"/>
      </left>
      <right/>
      <top style="medium">
        <color theme="1"/>
      </top>
      <bottom/>
      <diagonal/>
    </border>
    <border>
      <left/>
      <right style="mediumDashed">
        <color theme="1"/>
      </right>
      <top style="medium">
        <color theme="1"/>
      </top>
      <bottom/>
      <diagonal/>
    </border>
    <border>
      <left style="mediumDashed">
        <color theme="1"/>
      </left>
      <right/>
      <top/>
      <bottom style="medium">
        <color theme="1"/>
      </bottom>
      <diagonal/>
    </border>
    <border>
      <left/>
      <right style="mediumDashed">
        <color theme="1"/>
      </right>
      <top/>
      <bottom style="medium">
        <color theme="1"/>
      </bottom>
      <diagonal/>
    </border>
    <border>
      <left style="mediumDashed">
        <color theme="1"/>
      </left>
      <right/>
      <top/>
      <bottom/>
      <diagonal/>
    </border>
    <border>
      <left style="medium">
        <color theme="4" tint="-0.249977111117893"/>
      </left>
      <right/>
      <top style="medium">
        <color theme="4" tint="-0.249977111117893"/>
      </top>
      <bottom style="medium">
        <color theme="4" tint="-0.249977111117893"/>
      </bottom>
      <diagonal/>
    </border>
    <border>
      <left/>
      <right style="medium">
        <color theme="4" tint="-0.249977111117893"/>
      </right>
      <top style="medium">
        <color theme="4" tint="-0.249977111117893"/>
      </top>
      <bottom style="medium">
        <color theme="4" tint="-0.249977111117893"/>
      </bottom>
      <diagonal/>
    </border>
    <border>
      <left style="medium">
        <color theme="4" tint="-0.249977111117893"/>
      </left>
      <right/>
      <top style="medium">
        <color theme="4" tint="-0.249977111117893"/>
      </top>
      <bottom style="medium">
        <color theme="1"/>
      </bottom>
      <diagonal/>
    </border>
    <border>
      <left/>
      <right style="medium">
        <color theme="4" tint="-0.249977111117893"/>
      </right>
      <top style="medium">
        <color theme="4" tint="-0.249977111117893"/>
      </top>
      <bottom style="medium">
        <color theme="1"/>
      </bottom>
      <diagonal/>
    </border>
    <border>
      <left style="slantDashDot">
        <color theme="1"/>
      </left>
      <right/>
      <top style="slantDashDot">
        <color theme="9"/>
      </top>
      <bottom/>
      <diagonal/>
    </border>
    <border>
      <left style="slantDashDot">
        <color theme="1"/>
      </left>
      <right/>
      <top/>
      <bottom/>
      <diagonal/>
    </border>
    <border>
      <left style="slantDashDot">
        <color theme="1"/>
      </left>
      <right/>
      <top/>
      <bottom style="slantDashDot">
        <color theme="1"/>
      </bottom>
      <diagonal/>
    </border>
    <border>
      <left/>
      <right style="slantDashDot">
        <color theme="1"/>
      </right>
      <top style="slantDashDot">
        <color theme="9"/>
      </top>
      <bottom/>
      <diagonal/>
    </border>
    <border>
      <left/>
      <right style="slantDashDot">
        <color theme="1"/>
      </right>
      <top/>
      <bottom/>
      <diagonal/>
    </border>
    <border>
      <left/>
      <right style="slantDashDot">
        <color theme="1"/>
      </right>
      <top/>
      <bottom style="slantDashDot">
        <color theme="1"/>
      </bottom>
      <diagonal/>
    </border>
    <border>
      <left style="slantDashDot">
        <color theme="1"/>
      </left>
      <right/>
      <top style="medium">
        <color theme="4" tint="-0.249977111117893"/>
      </top>
      <bottom style="slantDashDot">
        <color theme="9"/>
      </bottom>
      <diagonal/>
    </border>
    <border>
      <left/>
      <right style="slantDashDot">
        <color theme="1"/>
      </right>
      <top style="medium">
        <color theme="4" tint="-0.249977111117893"/>
      </top>
      <bottom style="slantDashDot">
        <color theme="9"/>
      </bottom>
      <diagonal/>
    </border>
  </borders>
  <cellStyleXfs count="5">
    <xf numFmtId="0" fontId="0" fillId="0" borderId="0"/>
    <xf numFmtId="9" fontId="1" fillId="0" borderId="0" applyFont="0" applyFill="0" applyBorder="0" applyAlignment="0" applyProtection="0"/>
    <xf numFmtId="0" fontId="2" fillId="0" borderId="0"/>
    <xf numFmtId="0" fontId="2" fillId="2" borderId="1" applyNumberFormat="0" applyFont="0" applyAlignment="0" applyProtection="0"/>
    <xf numFmtId="9" fontId="2" fillId="0" borderId="0" applyFont="0" applyFill="0" applyBorder="0" applyAlignment="0" applyProtection="0"/>
  </cellStyleXfs>
  <cellXfs count="78">
    <xf numFmtId="0" fontId="0" fillId="0" borderId="0" xfId="0"/>
    <xf numFmtId="0" fontId="2" fillId="0" borderId="0" xfId="2" applyFill="1" applyBorder="1" applyAlignment="1">
      <alignment horizontal="left" vertical="top"/>
    </xf>
    <xf numFmtId="0" fontId="3" fillId="0" borderId="0" xfId="2" applyFont="1" applyFill="1" applyBorder="1" applyAlignment="1">
      <alignment horizontal="left" vertical="top"/>
    </xf>
    <xf numFmtId="0" fontId="2" fillId="0" borderId="0" xfId="2" applyFill="1" applyAlignment="1">
      <alignment horizontal="left" vertical="top"/>
    </xf>
    <xf numFmtId="0" fontId="2" fillId="0" borderId="0" xfId="2" applyFill="1" applyBorder="1" applyAlignment="1">
      <alignment horizontal="left" vertical="top"/>
    </xf>
    <xf numFmtId="9" fontId="3" fillId="0" borderId="0" xfId="4" applyFont="1" applyFill="1" applyBorder="1" applyAlignment="1">
      <alignment horizontal="left" vertical="top"/>
    </xf>
    <xf numFmtId="9" fontId="2" fillId="0" borderId="0" xfId="4" applyFont="1" applyFill="1" applyBorder="1" applyAlignment="1">
      <alignment horizontal="left" vertical="top"/>
    </xf>
    <xf numFmtId="10" fontId="0" fillId="0" borderId="0" xfId="1" applyNumberFormat="1" applyFont="1"/>
    <xf numFmtId="0" fontId="0" fillId="0" borderId="0" xfId="0" applyNumberFormat="1"/>
    <xf numFmtId="0" fontId="0" fillId="0" borderId="0" xfId="0" pivotButton="1"/>
    <xf numFmtId="0" fontId="0" fillId="0" borderId="0" xfId="0" applyAlignment="1">
      <alignment horizontal="left"/>
    </xf>
    <xf numFmtId="0" fontId="4" fillId="4" borderId="4" xfId="0" applyFont="1" applyFill="1" applyBorder="1"/>
    <xf numFmtId="0" fontId="4" fillId="4" borderId="5" xfId="0" applyFont="1" applyFill="1" applyBorder="1"/>
    <xf numFmtId="2" fontId="2" fillId="0" borderId="0" xfId="1" applyNumberFormat="1" applyFont="1" applyFill="1" applyAlignment="1">
      <alignment horizontal="left" vertical="top"/>
    </xf>
    <xf numFmtId="2" fontId="3" fillId="3" borderId="3" xfId="1" applyNumberFormat="1" applyFont="1" applyFill="1" applyBorder="1" applyAlignment="1">
      <alignment horizontal="left" vertical="top"/>
    </xf>
    <xf numFmtId="2" fontId="0" fillId="0" borderId="0" xfId="1" applyNumberFormat="1" applyFont="1"/>
    <xf numFmtId="10" fontId="0" fillId="0" borderId="0" xfId="0" applyNumberFormat="1"/>
    <xf numFmtId="0" fontId="0" fillId="0" borderId="6" xfId="0" applyBorder="1"/>
    <xf numFmtId="0" fontId="0" fillId="0" borderId="2" xfId="0" applyBorder="1"/>
    <xf numFmtId="0" fontId="0" fillId="0" borderId="8" xfId="0" applyBorder="1"/>
    <xf numFmtId="0" fontId="0" fillId="0" borderId="2" xfId="0" applyNumberFormat="1" applyBorder="1"/>
    <xf numFmtId="10" fontId="0" fillId="0" borderId="7" xfId="1" applyNumberFormat="1" applyFont="1" applyBorder="1"/>
    <xf numFmtId="0" fontId="0" fillId="0" borderId="4" xfId="0" pivotButton="1" applyBorder="1"/>
    <xf numFmtId="0" fontId="0" fillId="0" borderId="5" xfId="0" applyBorder="1"/>
    <xf numFmtId="0" fontId="0" fillId="0" borderId="9" xfId="0" applyBorder="1"/>
    <xf numFmtId="0" fontId="0" fillId="0" borderId="10" xfId="0" applyNumberFormat="1" applyBorder="1"/>
    <xf numFmtId="0" fontId="5" fillId="0" borderId="11" xfId="0" applyFont="1" applyBorder="1" applyAlignment="1">
      <alignment horizontal="left"/>
    </xf>
    <xf numFmtId="0" fontId="5" fillId="0" borderId="11" xfId="0" applyNumberFormat="1" applyFont="1" applyBorder="1"/>
    <xf numFmtId="0" fontId="5" fillId="0" borderId="0" xfId="0" applyFont="1" applyBorder="1" applyAlignment="1">
      <alignment horizontal="left"/>
    </xf>
    <xf numFmtId="0" fontId="5" fillId="0" borderId="0" xfId="0" applyNumberFormat="1" applyFont="1" applyBorder="1"/>
    <xf numFmtId="0" fontId="0" fillId="0" borderId="29" xfId="0" applyBorder="1"/>
    <xf numFmtId="0" fontId="0" fillId="0" borderId="30" xfId="0" applyBorder="1"/>
    <xf numFmtId="0" fontId="0" fillId="0" borderId="32" xfId="0" applyBorder="1"/>
    <xf numFmtId="0" fontId="0" fillId="0" borderId="33" xfId="0" applyBorder="1"/>
    <xf numFmtId="0" fontId="0" fillId="8" borderId="0" xfId="0" applyFill="1"/>
    <xf numFmtId="0" fontId="10" fillId="0" borderId="0" xfId="0" applyFont="1" applyFill="1" applyAlignment="1">
      <alignment vertical="center"/>
    </xf>
    <xf numFmtId="0" fontId="10" fillId="8" borderId="0" xfId="0" applyFont="1" applyFill="1" applyAlignment="1">
      <alignment vertical="center"/>
    </xf>
    <xf numFmtId="0" fontId="0" fillId="8" borderId="0" xfId="0" applyFill="1" applyBorder="1"/>
    <xf numFmtId="0" fontId="0" fillId="8" borderId="0" xfId="0" applyNumberFormat="1" applyFill="1"/>
    <xf numFmtId="0" fontId="6" fillId="5" borderId="34" xfId="0" applyFont="1" applyFill="1" applyBorder="1" applyAlignment="1">
      <alignment horizontal="center" vertical="center"/>
    </xf>
    <xf numFmtId="0" fontId="7" fillId="5" borderId="34" xfId="0" applyFont="1" applyFill="1" applyBorder="1" applyAlignment="1">
      <alignment horizontal="center" vertical="center"/>
    </xf>
    <xf numFmtId="0" fontId="6" fillId="5" borderId="35" xfId="0" applyFont="1" applyFill="1" applyBorder="1" applyAlignment="1">
      <alignment horizontal="center" vertical="center"/>
    </xf>
    <xf numFmtId="0" fontId="9" fillId="0" borderId="28" xfId="0" applyFont="1" applyBorder="1" applyAlignment="1">
      <alignment horizontal="center" vertical="center"/>
    </xf>
    <xf numFmtId="0" fontId="9" fillId="0" borderId="31" xfId="0" applyFont="1" applyBorder="1" applyAlignment="1">
      <alignment horizontal="center" vertical="center"/>
    </xf>
    <xf numFmtId="0" fontId="9" fillId="0" borderId="29" xfId="0" applyFont="1" applyBorder="1" applyAlignment="1">
      <alignment horizontal="center" vertical="center"/>
    </xf>
    <xf numFmtId="0" fontId="9" fillId="0" borderId="32" xfId="0" applyFont="1" applyBorder="1" applyAlignment="1">
      <alignment horizontal="center" vertical="center"/>
    </xf>
    <xf numFmtId="0" fontId="9" fillId="0" borderId="30" xfId="0" applyFont="1" applyBorder="1"/>
    <xf numFmtId="0" fontId="9" fillId="0" borderId="33" xfId="0" applyFont="1" applyBorder="1"/>
    <xf numFmtId="0" fontId="4" fillId="4" borderId="4" xfId="0" applyFont="1" applyFill="1" applyBorder="1"/>
    <xf numFmtId="0" fontId="4" fillId="4" borderId="5" xfId="0" applyFont="1" applyFill="1" applyBorder="1"/>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2" xfId="0" applyFont="1" applyFill="1" applyBorder="1" applyAlignment="1">
      <alignment horizontal="center"/>
    </xf>
    <xf numFmtId="0" fontId="4" fillId="4" borderId="0" xfId="0" applyFont="1" applyFill="1" applyBorder="1" applyAlignment="1">
      <alignment horizontal="center"/>
    </xf>
    <xf numFmtId="0" fontId="12" fillId="7" borderId="12" xfId="0" applyFont="1" applyFill="1" applyBorder="1" applyAlignment="1">
      <alignment horizontal="center" vertical="center"/>
    </xf>
    <xf numFmtId="0" fontId="12" fillId="7" borderId="18" xfId="0" applyFont="1" applyFill="1" applyBorder="1" applyAlignment="1">
      <alignment horizontal="center" vertical="center"/>
    </xf>
    <xf numFmtId="0" fontId="12" fillId="7" borderId="13"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7" xfId="0" applyFont="1" applyFill="1" applyBorder="1" applyAlignment="1">
      <alignment horizontal="center" vertical="center"/>
    </xf>
    <xf numFmtId="0" fontId="12" fillId="7" borderId="15" xfId="0" applyFont="1" applyFill="1" applyBorder="1" applyAlignment="1">
      <alignment horizontal="center" vertical="center"/>
    </xf>
    <xf numFmtId="0" fontId="10" fillId="7" borderId="0" xfId="0" applyFont="1" applyFill="1" applyAlignment="1">
      <alignment horizontal="center" vertical="center"/>
    </xf>
    <xf numFmtId="0" fontId="10" fillId="6" borderId="0" xfId="0" applyFont="1" applyFill="1" applyAlignment="1">
      <alignment horizontal="center" vertical="center"/>
    </xf>
    <xf numFmtId="0" fontId="12" fillId="7" borderId="26" xfId="0" applyFont="1" applyFill="1" applyBorder="1" applyAlignment="1">
      <alignment horizontal="center" vertical="center"/>
    </xf>
    <xf numFmtId="0" fontId="12" fillId="7" borderId="27" xfId="0" applyFont="1" applyFill="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8" fillId="7" borderId="24" xfId="0" applyFont="1" applyFill="1" applyBorder="1" applyAlignment="1">
      <alignment horizontal="center" vertical="center"/>
    </xf>
    <xf numFmtId="0" fontId="8" fillId="7" borderId="25" xfId="0" applyFont="1" applyFill="1" applyBorder="1" applyAlignment="1">
      <alignment horizontal="center" vertical="center"/>
    </xf>
    <xf numFmtId="0" fontId="11" fillId="0" borderId="23" xfId="0" applyFont="1" applyBorder="1" applyAlignment="1">
      <alignment horizontal="center" vertical="center"/>
    </xf>
    <xf numFmtId="0" fontId="11" fillId="0" borderId="16" xfId="0" applyFont="1" applyBorder="1" applyAlignment="1">
      <alignment horizontal="center" vertical="center"/>
    </xf>
    <xf numFmtId="0" fontId="12" fillId="7" borderId="24" xfId="0" applyFont="1" applyFill="1" applyBorder="1" applyAlignment="1">
      <alignment horizontal="center" vertical="center"/>
    </xf>
    <xf numFmtId="0" fontId="12" fillId="7" borderId="25" xfId="0" applyFont="1" applyFill="1" applyBorder="1" applyAlignment="1">
      <alignment horizontal="center" vertical="center"/>
    </xf>
    <xf numFmtId="10" fontId="11" fillId="0" borderId="19" xfId="1" applyNumberFormat="1" applyFont="1" applyBorder="1" applyAlignment="1">
      <alignment horizontal="center" vertical="center"/>
    </xf>
    <xf numFmtId="10" fontId="11" fillId="0" borderId="20" xfId="1" applyNumberFormat="1" applyFont="1" applyBorder="1" applyAlignment="1">
      <alignment horizontal="center" vertical="center"/>
    </xf>
    <xf numFmtId="10" fontId="11" fillId="0" borderId="21" xfId="1" applyNumberFormat="1" applyFont="1" applyBorder="1" applyAlignment="1">
      <alignment horizontal="center" vertical="center"/>
    </xf>
    <xf numFmtId="10" fontId="11" fillId="0" borderId="22" xfId="1" applyNumberFormat="1" applyFont="1" applyBorder="1" applyAlignment="1">
      <alignment horizontal="center" vertical="center"/>
    </xf>
  </cellXfs>
  <cellStyles count="5">
    <cellStyle name="Normal" xfId="0" builtinId="0"/>
    <cellStyle name="Normal 2" xfId="2"/>
    <cellStyle name="Note 2" xfId="3"/>
    <cellStyle name="Percent" xfId="1" builtinId="5"/>
    <cellStyle name="Percent 2" xfId="4"/>
  </cellStyles>
  <dxfs count="100">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0" formatCode="General"/>
      <border diagonalUp="0" diagonalDown="0">
        <left/>
        <right/>
        <top/>
        <bottom style="thin">
          <color theme="4" tint="0.39997558519241921"/>
        </bottom>
        <vertical/>
        <horizontal/>
      </border>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right/>
        <top/>
        <bottom style="thin">
          <color theme="4" tint="0.39997558519241921"/>
        </bottom>
        <vertical/>
        <horizontal/>
      </border>
    </dxf>
    <dxf>
      <border outline="0">
        <bottom style="thin">
          <color theme="4" tint="0.39997558519241921"/>
        </bottom>
      </border>
    </dxf>
    <dxf>
      <border outline="0">
        <bottom style="thin">
          <color theme="4" tint="0.39997558519241921"/>
        </bottom>
      </border>
    </dxf>
    <dxf>
      <border>
        <left style="thin">
          <color indexed="64"/>
        </left>
        <right style="thin">
          <color indexed="64"/>
        </right>
        <top style="thin">
          <color indexed="64"/>
        </top>
        <bottom style="thin">
          <color indexed="64"/>
        </bottom>
      </border>
    </dxf>
    <dxf>
      <numFmt numFmtId="14" formatCode="0.00%"/>
    </dxf>
    <dxf>
      <numFmt numFmtId="164" formatCode="0.0%"/>
    </dxf>
    <dxf>
      <numFmt numFmtId="13" formatCode="0%"/>
    </dxf>
    <dxf>
      <numFmt numFmtId="14" formatCode="0.00%"/>
    </dxf>
    <dxf>
      <numFmt numFmtId="164" formatCode="0.0%"/>
    </dxf>
    <dxf>
      <numFmt numFmtId="13" formatCode="0%"/>
    </dxf>
    <dxf>
      <border>
        <left style="thin">
          <color indexed="64"/>
        </left>
        <right style="thin">
          <color indexed="64"/>
        </right>
        <top style="thin">
          <color indexed="64"/>
        </top>
        <bottom style="thin">
          <color indexed="64"/>
        </bottom>
      </border>
    </dxf>
    <dxf>
      <numFmt numFmtId="14" formatCode="0.00%"/>
    </dxf>
    <dxf>
      <numFmt numFmtId="14" formatCode="0.00%"/>
    </dxf>
    <dxf>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scheme val="none"/>
      </font>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2" formatCode="0.00"/>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[milk_production_analysis_new.xlsx]Analysis!yrealy milk production trend</c:name>
    <c:fmtId val="3"/>
  </c:pivotSource>
  <c:chart>
    <c:title>
      <c:tx>
        <c:rich>
          <a:bodyPr/>
          <a:lstStyle/>
          <a:p>
            <a:pPr>
              <a:defRPr sz="2000"/>
            </a:pPr>
            <a:r>
              <a:rPr lang="en-US" sz="2000"/>
              <a:t>Milk Production Trend</a:t>
            </a:r>
          </a:p>
        </c:rich>
      </c:tx>
      <c:layout>
        <c:manualLayout>
          <c:xMode val="edge"/>
          <c:yMode val="edge"/>
          <c:x val="0.33469075406484416"/>
          <c:y val="2.1038531807027479E-2"/>
        </c:manualLayout>
      </c:layout>
      <c:overlay val="0"/>
    </c:title>
    <c:autoTitleDeleted val="0"/>
    <c:pivotFmts>
      <c:pivotFmt>
        <c:idx val="0"/>
        <c:marker>
          <c:symbol val="none"/>
        </c:marker>
      </c:pivotFmt>
      <c:pivotFmt>
        <c:idx val="1"/>
        <c:marker>
          <c:symbol val="none"/>
        </c:marker>
      </c:pivotFmt>
      <c:pivotFmt>
        <c:idx val="2"/>
        <c:spPr>
          <a:ln w="38100"/>
        </c:spPr>
        <c:marker>
          <c:symbol val="none"/>
        </c:marker>
      </c:pivotFmt>
    </c:pivotFmts>
    <c:plotArea>
      <c:layout/>
      <c:lineChart>
        <c:grouping val="standard"/>
        <c:varyColors val="0"/>
        <c:ser>
          <c:idx val="0"/>
          <c:order val="0"/>
          <c:tx>
            <c:strRef>
              <c:f>Analysis!$B$67</c:f>
              <c:strCache>
                <c:ptCount val="1"/>
                <c:pt idx="0">
                  <c:v>Total</c:v>
                </c:pt>
              </c:strCache>
            </c:strRef>
          </c:tx>
          <c:spPr>
            <a:ln w="38100"/>
          </c:spPr>
          <c:marker>
            <c:symbol val="none"/>
          </c:marker>
          <c:cat>
            <c:strRef>
              <c:f>Analysis!$A$68:$A$91</c:f>
              <c:strCache>
                <c:ptCount val="23"/>
                <c:pt idx="0">
                  <c:v>2001-02</c:v>
                </c:pt>
                <c:pt idx="1">
                  <c:v>2002-03</c:v>
                </c:pt>
                <c:pt idx="2">
                  <c:v>2003-04</c:v>
                </c:pt>
                <c:pt idx="3">
                  <c:v>2004-05</c:v>
                </c:pt>
                <c:pt idx="4">
                  <c:v>2005-06</c:v>
                </c:pt>
                <c:pt idx="5">
                  <c:v>2006-07</c:v>
                </c:pt>
                <c:pt idx="6">
                  <c:v>2007-08</c:v>
                </c:pt>
                <c:pt idx="7">
                  <c:v>2008-09</c:v>
                </c:pt>
                <c:pt idx="8">
                  <c:v>2009-10</c:v>
                </c:pt>
                <c:pt idx="9">
                  <c:v>2010-11</c:v>
                </c:pt>
                <c:pt idx="10">
                  <c:v>2011-12</c:v>
                </c:pt>
                <c:pt idx="11">
                  <c:v>2012-13</c:v>
                </c:pt>
                <c:pt idx="12">
                  <c:v>2013-14</c:v>
                </c:pt>
                <c:pt idx="13">
                  <c:v>2014-15</c:v>
                </c:pt>
                <c:pt idx="14">
                  <c:v>2015-16</c:v>
                </c:pt>
                <c:pt idx="15">
                  <c:v>2016-17</c:v>
                </c:pt>
                <c:pt idx="16">
                  <c:v>2017-18</c:v>
                </c:pt>
                <c:pt idx="17">
                  <c:v>2018-19</c:v>
                </c:pt>
                <c:pt idx="18">
                  <c:v>2019-20</c:v>
                </c:pt>
                <c:pt idx="19">
                  <c:v>2020-21</c:v>
                </c:pt>
                <c:pt idx="20">
                  <c:v>2021-22</c:v>
                </c:pt>
                <c:pt idx="21">
                  <c:v>2022-23</c:v>
                </c:pt>
                <c:pt idx="22">
                  <c:v>2023-24</c:v>
                </c:pt>
              </c:strCache>
            </c:strRef>
          </c:cat>
          <c:val>
            <c:numRef>
              <c:f>Analysis!$B$68:$B$91</c:f>
              <c:numCache>
                <c:formatCode>General</c:formatCode>
                <c:ptCount val="23"/>
                <c:pt idx="0">
                  <c:v>6078</c:v>
                </c:pt>
                <c:pt idx="1">
                  <c:v>6147</c:v>
                </c:pt>
                <c:pt idx="2">
                  <c:v>6200</c:v>
                </c:pt>
                <c:pt idx="3">
                  <c:v>6337</c:v>
                </c:pt>
                <c:pt idx="4">
                  <c:v>7122</c:v>
                </c:pt>
                <c:pt idx="5">
                  <c:v>7223</c:v>
                </c:pt>
                <c:pt idx="6">
                  <c:v>7438</c:v>
                </c:pt>
                <c:pt idx="7">
                  <c:v>7763</c:v>
                </c:pt>
                <c:pt idx="8">
                  <c:v>8123</c:v>
                </c:pt>
                <c:pt idx="9">
                  <c:v>8543</c:v>
                </c:pt>
                <c:pt idx="10">
                  <c:v>9268</c:v>
                </c:pt>
                <c:pt idx="11">
                  <c:v>10002</c:v>
                </c:pt>
                <c:pt idx="12">
                  <c:v>10808</c:v>
                </c:pt>
                <c:pt idx="13">
                  <c:v>12011</c:v>
                </c:pt>
                <c:pt idx="14">
                  <c:v>13425</c:v>
                </c:pt>
                <c:pt idx="15">
                  <c:v>14819</c:v>
                </c:pt>
                <c:pt idx="16">
                  <c:v>16182</c:v>
                </c:pt>
                <c:pt idx="17">
                  <c:v>17478</c:v>
                </c:pt>
                <c:pt idx="18">
                  <c:v>18785</c:v>
                </c:pt>
                <c:pt idx="19">
                  <c:v>19746</c:v>
                </c:pt>
                <c:pt idx="20">
                  <c:v>20852</c:v>
                </c:pt>
                <c:pt idx="21">
                  <c:v>22078</c:v>
                </c:pt>
                <c:pt idx="22">
                  <c:v>23450</c:v>
                </c:pt>
              </c:numCache>
            </c:numRef>
          </c:val>
          <c:smooth val="0"/>
        </c:ser>
        <c:dLbls>
          <c:showLegendKey val="0"/>
          <c:showVal val="0"/>
          <c:showCatName val="0"/>
          <c:showSerName val="0"/>
          <c:showPercent val="0"/>
          <c:showBubbleSize val="0"/>
        </c:dLbls>
        <c:marker val="1"/>
        <c:smooth val="0"/>
        <c:axId val="202489216"/>
        <c:axId val="202495104"/>
      </c:lineChart>
      <c:catAx>
        <c:axId val="202489216"/>
        <c:scaling>
          <c:orientation val="minMax"/>
        </c:scaling>
        <c:delete val="0"/>
        <c:axPos val="b"/>
        <c:majorTickMark val="out"/>
        <c:minorTickMark val="none"/>
        <c:tickLblPos val="nextTo"/>
        <c:txPr>
          <a:bodyPr/>
          <a:lstStyle/>
          <a:p>
            <a:pPr>
              <a:defRPr sz="1600"/>
            </a:pPr>
            <a:endParaRPr lang="en-US"/>
          </a:p>
        </c:txPr>
        <c:crossAx val="202495104"/>
        <c:crosses val="autoZero"/>
        <c:auto val="1"/>
        <c:lblAlgn val="ctr"/>
        <c:lblOffset val="100"/>
        <c:noMultiLvlLbl val="0"/>
      </c:catAx>
      <c:valAx>
        <c:axId val="202495104"/>
        <c:scaling>
          <c:orientation val="minMax"/>
        </c:scaling>
        <c:delete val="0"/>
        <c:axPos val="l"/>
        <c:majorGridlines/>
        <c:numFmt formatCode="General" sourceLinked="1"/>
        <c:majorTickMark val="out"/>
        <c:minorTickMark val="none"/>
        <c:tickLblPos val="nextTo"/>
        <c:txPr>
          <a:bodyPr/>
          <a:lstStyle/>
          <a:p>
            <a:pPr>
              <a:defRPr sz="1600"/>
            </a:pPr>
            <a:endParaRPr lang="en-US"/>
          </a:p>
        </c:txPr>
        <c:crossAx val="202489216"/>
        <c:crosses val="autoZero"/>
        <c:crossBetween val="between"/>
      </c:valAx>
    </c:plotArea>
    <c:plotVisOnly val="1"/>
    <c:dispBlanksAs val="gap"/>
    <c:showDLblsOverMax val="0"/>
  </c:chart>
  <c:spPr>
    <a:solidFill>
      <a:schemeClr val="lt1"/>
    </a:solidFill>
    <a:ln w="9525"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[milk_production_analysis_new.xlsx]Analysis!YoY% grwoth trend</c:name>
    <c:fmtId val="2"/>
  </c:pivotSource>
  <c:chart>
    <c:title>
      <c:tx>
        <c:rich>
          <a:bodyPr/>
          <a:lstStyle/>
          <a:p>
            <a:pPr>
              <a:defRPr sz="2000"/>
            </a:pPr>
            <a:r>
              <a:rPr lang="en-US" sz="2000"/>
              <a:t>YoY % Growth Rate</a:t>
            </a:r>
          </a:p>
        </c:rich>
      </c:tx>
      <c:layout>
        <c:manualLayout>
          <c:xMode val="edge"/>
          <c:yMode val="edge"/>
          <c:x val="0.3516111111111111"/>
          <c:y val="1.1847477398658504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spPr>
          <a:ln>
            <a:solidFill>
              <a:schemeClr val="accent1">
                <a:shade val="95000"/>
                <a:satMod val="105000"/>
              </a:schemeClr>
            </a:solidFill>
          </a:ln>
        </c:spPr>
      </c:pivotFmt>
    </c:pivotFmts>
    <c:plotArea>
      <c:layout/>
      <c:lineChart>
        <c:grouping val="standard"/>
        <c:varyColors val="0"/>
        <c:ser>
          <c:idx val="0"/>
          <c:order val="0"/>
          <c:tx>
            <c:strRef>
              <c:f>Analysis!$I$67</c:f>
              <c:strCache>
                <c:ptCount val="1"/>
                <c:pt idx="0">
                  <c:v>Total</c:v>
                </c:pt>
              </c:strCache>
            </c:strRef>
          </c:tx>
          <c:marker>
            <c:symbol val="none"/>
          </c:marker>
          <c:dPt>
            <c:idx val="14"/>
            <c:bubble3D val="0"/>
            <c:spPr>
              <a:ln>
                <a:solidFill>
                  <a:schemeClr val="accent1">
                    <a:shade val="95000"/>
                    <a:satMod val="105000"/>
                  </a:schemeClr>
                </a:solidFill>
              </a:ln>
            </c:spPr>
          </c:dPt>
          <c:cat>
            <c:strRef>
              <c:f>Analysis!$H$68:$H$91</c:f>
              <c:strCache>
                <c:ptCount val="23"/>
                <c:pt idx="0">
                  <c:v>2001-02</c:v>
                </c:pt>
                <c:pt idx="1">
                  <c:v>2002-03</c:v>
                </c:pt>
                <c:pt idx="2">
                  <c:v>2003-04</c:v>
                </c:pt>
                <c:pt idx="3">
                  <c:v>2004-05</c:v>
                </c:pt>
                <c:pt idx="4">
                  <c:v>2005-06</c:v>
                </c:pt>
                <c:pt idx="5">
                  <c:v>2006-07</c:v>
                </c:pt>
                <c:pt idx="6">
                  <c:v>2007-08</c:v>
                </c:pt>
                <c:pt idx="7">
                  <c:v>2008-09</c:v>
                </c:pt>
                <c:pt idx="8">
                  <c:v>2009-10</c:v>
                </c:pt>
                <c:pt idx="9">
                  <c:v>2010-11</c:v>
                </c:pt>
                <c:pt idx="10">
                  <c:v>2011-12</c:v>
                </c:pt>
                <c:pt idx="11">
                  <c:v>2012-13</c:v>
                </c:pt>
                <c:pt idx="12">
                  <c:v>2013-14</c:v>
                </c:pt>
                <c:pt idx="13">
                  <c:v>2014-15</c:v>
                </c:pt>
                <c:pt idx="14">
                  <c:v>2015-16</c:v>
                </c:pt>
                <c:pt idx="15">
                  <c:v>2016-17</c:v>
                </c:pt>
                <c:pt idx="16">
                  <c:v>2017-18</c:v>
                </c:pt>
                <c:pt idx="17">
                  <c:v>2018-19</c:v>
                </c:pt>
                <c:pt idx="18">
                  <c:v>2019-20</c:v>
                </c:pt>
                <c:pt idx="19">
                  <c:v>2020-21</c:v>
                </c:pt>
                <c:pt idx="20">
                  <c:v>2021-22</c:v>
                </c:pt>
                <c:pt idx="21">
                  <c:v>2022-23</c:v>
                </c:pt>
                <c:pt idx="22">
                  <c:v>2023-24</c:v>
                </c:pt>
              </c:strCache>
            </c:strRef>
          </c:cat>
          <c:val>
            <c:numRef>
              <c:f>Analysis!$I$68:$I$91</c:f>
              <c:numCache>
                <c:formatCode>0.00%</c:formatCode>
                <c:ptCount val="23"/>
                <c:pt idx="1">
                  <c:v>1.1352418558736426E-2</c:v>
                </c:pt>
                <c:pt idx="2">
                  <c:v>8.6220920774361474E-3</c:v>
                </c:pt>
                <c:pt idx="3">
                  <c:v>2.2096774193548389E-2</c:v>
                </c:pt>
                <c:pt idx="4">
                  <c:v>0.12387565093893009</c:v>
                </c:pt>
                <c:pt idx="5">
                  <c:v>1.4181409716371806E-2</c:v>
                </c:pt>
                <c:pt idx="6">
                  <c:v>2.9766025197286446E-2</c:v>
                </c:pt>
                <c:pt idx="7">
                  <c:v>4.3694541543425655E-2</c:v>
                </c:pt>
                <c:pt idx="8">
                  <c:v>4.6373824552363774E-2</c:v>
                </c:pt>
                <c:pt idx="9">
                  <c:v>5.1705035085559521E-2</c:v>
                </c:pt>
                <c:pt idx="10">
                  <c:v>8.486480159194662E-2</c:v>
                </c:pt>
                <c:pt idx="11">
                  <c:v>7.9197237807509716E-2</c:v>
                </c:pt>
                <c:pt idx="12">
                  <c:v>8.0583883223355329E-2</c:v>
                </c:pt>
                <c:pt idx="13">
                  <c:v>0.11130643967431532</c:v>
                </c:pt>
                <c:pt idx="14">
                  <c:v>0.11772541836649737</c:v>
                </c:pt>
                <c:pt idx="15">
                  <c:v>0.10383612662942272</c:v>
                </c:pt>
                <c:pt idx="16">
                  <c:v>9.1976516634050876E-2</c:v>
                </c:pt>
                <c:pt idx="17">
                  <c:v>8.0088987764182426E-2</c:v>
                </c:pt>
                <c:pt idx="18">
                  <c:v>7.4779723080443991E-2</c:v>
                </c:pt>
                <c:pt idx="19">
                  <c:v>5.1157838701091293E-2</c:v>
                </c:pt>
                <c:pt idx="20">
                  <c:v>5.6011344069684998E-2</c:v>
                </c:pt>
                <c:pt idx="21">
                  <c:v>5.8795319393823132E-2</c:v>
                </c:pt>
                <c:pt idx="22">
                  <c:v>6.2143310082435003E-2</c:v>
                </c:pt>
              </c:numCache>
            </c:numRef>
          </c:val>
          <c:smooth val="0"/>
        </c:ser>
        <c:dLbls>
          <c:showLegendKey val="0"/>
          <c:showVal val="0"/>
          <c:showCatName val="0"/>
          <c:showSerName val="0"/>
          <c:showPercent val="0"/>
          <c:showBubbleSize val="0"/>
        </c:dLbls>
        <c:marker val="1"/>
        <c:smooth val="0"/>
        <c:axId val="201696768"/>
        <c:axId val="201698304"/>
      </c:lineChart>
      <c:catAx>
        <c:axId val="201696768"/>
        <c:scaling>
          <c:orientation val="minMax"/>
        </c:scaling>
        <c:delete val="0"/>
        <c:axPos val="b"/>
        <c:majorTickMark val="out"/>
        <c:minorTickMark val="none"/>
        <c:tickLblPos val="nextTo"/>
        <c:txPr>
          <a:bodyPr/>
          <a:lstStyle/>
          <a:p>
            <a:pPr>
              <a:defRPr sz="1600"/>
            </a:pPr>
            <a:endParaRPr lang="en-US"/>
          </a:p>
        </c:txPr>
        <c:crossAx val="201698304"/>
        <c:crosses val="autoZero"/>
        <c:auto val="1"/>
        <c:lblAlgn val="ctr"/>
        <c:lblOffset val="100"/>
        <c:noMultiLvlLbl val="0"/>
      </c:catAx>
      <c:valAx>
        <c:axId val="201698304"/>
        <c:scaling>
          <c:orientation val="minMax"/>
        </c:scaling>
        <c:delete val="0"/>
        <c:axPos val="l"/>
        <c:majorGridlines>
          <c:spPr>
            <a:ln w="25400"/>
          </c:spPr>
        </c:majorGridlines>
        <c:numFmt formatCode="0.00%" sourceLinked="1"/>
        <c:majorTickMark val="out"/>
        <c:minorTickMark val="none"/>
        <c:tickLblPos val="nextTo"/>
        <c:txPr>
          <a:bodyPr/>
          <a:lstStyle/>
          <a:p>
            <a:pPr>
              <a:defRPr sz="1600"/>
            </a:pPr>
            <a:endParaRPr lang="en-US"/>
          </a:p>
        </c:txPr>
        <c:crossAx val="201696768"/>
        <c:crosses val="autoZero"/>
        <c:crossBetween val="between"/>
      </c:valAx>
    </c:plotArea>
    <c:plotVisOnly val="1"/>
    <c:dispBlanksAs val="gap"/>
    <c:showDLblsOverMax val="0"/>
  </c:chart>
  <c:spPr>
    <a:solidFill>
      <a:schemeClr val="lt1"/>
    </a:solidFill>
    <a:ln w="9525"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[milk_production_analysis_new.xlsx]Analysis!growth v 5 year rolling</c:name>
    <c:fmtId val="3"/>
  </c:pivotSource>
  <c:chart>
    <c:title>
      <c:tx>
        <c:rich>
          <a:bodyPr/>
          <a:lstStyle/>
          <a:p>
            <a:pPr>
              <a:defRPr sz="2000"/>
            </a:pPr>
            <a:r>
              <a:rPr lang="en-US" sz="2000"/>
              <a:t>Annual Growth Rate vs 5 Year Rolling Growth Rate</a:t>
            </a:r>
          </a:p>
        </c:rich>
      </c:tx>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manualLayout>
          <c:layoutTarget val="inner"/>
          <c:xMode val="edge"/>
          <c:yMode val="edge"/>
          <c:x val="8.9153356480482324E-2"/>
          <c:y val="0.28308864331125061"/>
          <c:w val="0.88911942996548643"/>
          <c:h val="0.63523984742725104"/>
        </c:manualLayout>
      </c:layout>
      <c:lineChart>
        <c:grouping val="standard"/>
        <c:varyColors val="0"/>
        <c:ser>
          <c:idx val="0"/>
          <c:order val="0"/>
          <c:tx>
            <c:strRef>
              <c:f>Analysis!$B$105</c:f>
              <c:strCache>
                <c:ptCount val="1"/>
                <c:pt idx="0">
                  <c:v>Annual Growth Rate (%)</c:v>
                </c:pt>
              </c:strCache>
            </c:strRef>
          </c:tx>
          <c:marker>
            <c:symbol val="none"/>
          </c:marker>
          <c:cat>
            <c:strRef>
              <c:f>Analysis!$A$106:$A$129</c:f>
              <c:strCache>
                <c:ptCount val="23"/>
                <c:pt idx="0">
                  <c:v>2001-02</c:v>
                </c:pt>
                <c:pt idx="1">
                  <c:v>2002-03</c:v>
                </c:pt>
                <c:pt idx="2">
                  <c:v>2003-04</c:v>
                </c:pt>
                <c:pt idx="3">
                  <c:v>2004-05</c:v>
                </c:pt>
                <c:pt idx="4">
                  <c:v>2005-06</c:v>
                </c:pt>
                <c:pt idx="5">
                  <c:v>2006-07</c:v>
                </c:pt>
                <c:pt idx="6">
                  <c:v>2007-08</c:v>
                </c:pt>
                <c:pt idx="7">
                  <c:v>2008-09</c:v>
                </c:pt>
                <c:pt idx="8">
                  <c:v>2009-10</c:v>
                </c:pt>
                <c:pt idx="9">
                  <c:v>2010-11</c:v>
                </c:pt>
                <c:pt idx="10">
                  <c:v>2011-12</c:v>
                </c:pt>
                <c:pt idx="11">
                  <c:v>2012-13</c:v>
                </c:pt>
                <c:pt idx="12">
                  <c:v>2013-14</c:v>
                </c:pt>
                <c:pt idx="13">
                  <c:v>2014-15</c:v>
                </c:pt>
                <c:pt idx="14">
                  <c:v>2015-16</c:v>
                </c:pt>
                <c:pt idx="15">
                  <c:v>2016-17</c:v>
                </c:pt>
                <c:pt idx="16">
                  <c:v>2017-18</c:v>
                </c:pt>
                <c:pt idx="17">
                  <c:v>2018-19</c:v>
                </c:pt>
                <c:pt idx="18">
                  <c:v>2019-20</c:v>
                </c:pt>
                <c:pt idx="19">
                  <c:v>2020-21</c:v>
                </c:pt>
                <c:pt idx="20">
                  <c:v>2021-22</c:v>
                </c:pt>
                <c:pt idx="21">
                  <c:v>2022-23</c:v>
                </c:pt>
                <c:pt idx="22">
                  <c:v>2023-24</c:v>
                </c:pt>
              </c:strCache>
            </c:strRef>
          </c:cat>
          <c:val>
            <c:numRef>
              <c:f>Analysis!$B$106:$B$129</c:f>
              <c:numCache>
                <c:formatCode>0.00%</c:formatCode>
                <c:ptCount val="23"/>
                <c:pt idx="1">
                  <c:v>1.1352418558736426E-2</c:v>
                </c:pt>
                <c:pt idx="2">
                  <c:v>8.6220920774361474E-3</c:v>
                </c:pt>
                <c:pt idx="3">
                  <c:v>2.2096774193548389E-2</c:v>
                </c:pt>
                <c:pt idx="4">
                  <c:v>0.12387565093893009</c:v>
                </c:pt>
                <c:pt idx="5">
                  <c:v>1.4181409716371806E-2</c:v>
                </c:pt>
                <c:pt idx="6">
                  <c:v>2.9766025197286446E-2</c:v>
                </c:pt>
                <c:pt idx="7">
                  <c:v>4.3694541543425655E-2</c:v>
                </c:pt>
                <c:pt idx="8">
                  <c:v>4.6373824552363774E-2</c:v>
                </c:pt>
                <c:pt idx="9">
                  <c:v>5.1705035085559521E-2</c:v>
                </c:pt>
                <c:pt idx="10">
                  <c:v>8.486480159194662E-2</c:v>
                </c:pt>
                <c:pt idx="11">
                  <c:v>7.9197237807509716E-2</c:v>
                </c:pt>
                <c:pt idx="12">
                  <c:v>8.0583883223355329E-2</c:v>
                </c:pt>
                <c:pt idx="13">
                  <c:v>0.11130643967431532</c:v>
                </c:pt>
                <c:pt idx="14">
                  <c:v>0.11772541836649737</c:v>
                </c:pt>
                <c:pt idx="15">
                  <c:v>0.10383612662942272</c:v>
                </c:pt>
                <c:pt idx="16">
                  <c:v>9.1976516634050876E-2</c:v>
                </c:pt>
                <c:pt idx="17">
                  <c:v>8.0088987764182426E-2</c:v>
                </c:pt>
                <c:pt idx="18">
                  <c:v>7.4779723080443991E-2</c:v>
                </c:pt>
                <c:pt idx="19">
                  <c:v>5.1157838701091293E-2</c:v>
                </c:pt>
                <c:pt idx="20">
                  <c:v>5.6011344069684998E-2</c:v>
                </c:pt>
                <c:pt idx="21">
                  <c:v>5.8795319393823132E-2</c:v>
                </c:pt>
                <c:pt idx="22">
                  <c:v>6.2143310082435003E-2</c:v>
                </c:pt>
              </c:numCache>
            </c:numRef>
          </c:val>
          <c:smooth val="0"/>
        </c:ser>
        <c:ser>
          <c:idx val="1"/>
          <c:order val="1"/>
          <c:tx>
            <c:strRef>
              <c:f>Analysis!$C$105</c:f>
              <c:strCache>
                <c:ptCount val="1"/>
                <c:pt idx="0">
                  <c:v>5 Year Rolling Avg Growth Rate (%)</c:v>
                </c:pt>
              </c:strCache>
            </c:strRef>
          </c:tx>
          <c:marker>
            <c:symbol val="none"/>
          </c:marker>
          <c:cat>
            <c:strRef>
              <c:f>Analysis!$A$106:$A$129</c:f>
              <c:strCache>
                <c:ptCount val="23"/>
                <c:pt idx="0">
                  <c:v>2001-02</c:v>
                </c:pt>
                <c:pt idx="1">
                  <c:v>2002-03</c:v>
                </c:pt>
                <c:pt idx="2">
                  <c:v>2003-04</c:v>
                </c:pt>
                <c:pt idx="3">
                  <c:v>2004-05</c:v>
                </c:pt>
                <c:pt idx="4">
                  <c:v>2005-06</c:v>
                </c:pt>
                <c:pt idx="5">
                  <c:v>2006-07</c:v>
                </c:pt>
                <c:pt idx="6">
                  <c:v>2007-08</c:v>
                </c:pt>
                <c:pt idx="7">
                  <c:v>2008-09</c:v>
                </c:pt>
                <c:pt idx="8">
                  <c:v>2009-10</c:v>
                </c:pt>
                <c:pt idx="9">
                  <c:v>2010-11</c:v>
                </c:pt>
                <c:pt idx="10">
                  <c:v>2011-12</c:v>
                </c:pt>
                <c:pt idx="11">
                  <c:v>2012-13</c:v>
                </c:pt>
                <c:pt idx="12">
                  <c:v>2013-14</c:v>
                </c:pt>
                <c:pt idx="13">
                  <c:v>2014-15</c:v>
                </c:pt>
                <c:pt idx="14">
                  <c:v>2015-16</c:v>
                </c:pt>
                <c:pt idx="15">
                  <c:v>2016-17</c:v>
                </c:pt>
                <c:pt idx="16">
                  <c:v>2017-18</c:v>
                </c:pt>
                <c:pt idx="17">
                  <c:v>2018-19</c:v>
                </c:pt>
                <c:pt idx="18">
                  <c:v>2019-20</c:v>
                </c:pt>
                <c:pt idx="19">
                  <c:v>2020-21</c:v>
                </c:pt>
                <c:pt idx="20">
                  <c:v>2021-22</c:v>
                </c:pt>
                <c:pt idx="21">
                  <c:v>2022-23</c:v>
                </c:pt>
                <c:pt idx="22">
                  <c:v>2023-24</c:v>
                </c:pt>
              </c:strCache>
            </c:strRef>
          </c:cat>
          <c:val>
            <c:numRef>
              <c:f>Analysis!$C$106:$C$129</c:f>
              <c:numCache>
                <c:formatCode>0.00%</c:formatCode>
                <c:ptCount val="23"/>
                <c:pt idx="1">
                  <c:v>-0.12059925093632953</c:v>
                </c:pt>
                <c:pt idx="2">
                  <c:v>-0.14923686680805201</c:v>
                </c:pt>
                <c:pt idx="3">
                  <c:v>-0.17870497129196386</c:v>
                </c:pt>
                <c:pt idx="4">
                  <c:v>-0.20676701082224155</c:v>
                </c:pt>
                <c:pt idx="5">
                  <c:v>3.591142892987078E-2</c:v>
                </c:pt>
                <c:pt idx="6">
                  <c:v>3.9086863059735355E-2</c:v>
                </c:pt>
                <c:pt idx="7">
                  <c:v>4.5541958041958097E-2</c:v>
                </c:pt>
                <c:pt idx="8">
                  <c:v>4.9772872948192708E-2</c:v>
                </c:pt>
                <c:pt idx="9">
                  <c:v>3.7723326873556479E-2</c:v>
                </c:pt>
                <c:pt idx="10">
                  <c:v>5.2315170120235358E-2</c:v>
                </c:pt>
                <c:pt idx="11">
                  <c:v>6.2331348000486335E-2</c:v>
                </c:pt>
                <c:pt idx="12">
                  <c:v>6.9681228403395745E-2</c:v>
                </c:pt>
                <c:pt idx="13">
                  <c:v>8.3176450453534195E-2</c:v>
                </c:pt>
                <c:pt idx="14">
                  <c:v>9.6421235582240625E-2</c:v>
                </c:pt>
                <c:pt idx="15">
                  <c:v>9.9992794610368446E-2</c:v>
                </c:pt>
                <c:pt idx="16">
                  <c:v>0.1012036354704004</c:v>
                </c:pt>
                <c:pt idx="17">
                  <c:v>9.9189530820135333E-2</c:v>
                </c:pt>
                <c:pt idx="18">
                  <c:v>9.1645809375634255E-2</c:v>
                </c:pt>
                <c:pt idx="19">
                  <c:v>7.8337815563459631E-2</c:v>
                </c:pt>
                <c:pt idx="20">
                  <c:v>6.933685783243318E-2</c:v>
                </c:pt>
                <c:pt idx="21">
                  <c:v>6.3368550025256973E-2</c:v>
                </c:pt>
                <c:pt idx="22">
                  <c:v>6.0360424099697871E-2</c:v>
                </c:pt>
              </c:numCache>
            </c:numRef>
          </c:val>
          <c:smooth val="0"/>
        </c:ser>
        <c:dLbls>
          <c:showLegendKey val="0"/>
          <c:showVal val="0"/>
          <c:showCatName val="0"/>
          <c:showSerName val="0"/>
          <c:showPercent val="0"/>
          <c:showBubbleSize val="0"/>
        </c:dLbls>
        <c:marker val="1"/>
        <c:smooth val="0"/>
        <c:axId val="203235328"/>
        <c:axId val="203237248"/>
      </c:lineChart>
      <c:catAx>
        <c:axId val="203235328"/>
        <c:scaling>
          <c:orientation val="minMax"/>
        </c:scaling>
        <c:delete val="0"/>
        <c:axPos val="b"/>
        <c:title>
          <c:tx>
            <c:rich>
              <a:bodyPr/>
              <a:lstStyle/>
              <a:p>
                <a:pPr>
                  <a:defRPr/>
                </a:pPr>
                <a:r>
                  <a:rPr lang="en-US"/>
                  <a:t>Year</a:t>
                </a:r>
              </a:p>
            </c:rich>
          </c:tx>
          <c:layout/>
          <c:overlay val="0"/>
        </c:title>
        <c:majorTickMark val="none"/>
        <c:minorTickMark val="none"/>
        <c:tickLblPos val="nextTo"/>
        <c:txPr>
          <a:bodyPr/>
          <a:lstStyle/>
          <a:p>
            <a:pPr>
              <a:defRPr sz="1600"/>
            </a:pPr>
            <a:endParaRPr lang="en-US"/>
          </a:p>
        </c:txPr>
        <c:crossAx val="203237248"/>
        <c:crosses val="autoZero"/>
        <c:auto val="1"/>
        <c:lblAlgn val="ctr"/>
        <c:lblOffset val="100"/>
        <c:noMultiLvlLbl val="0"/>
      </c:catAx>
      <c:valAx>
        <c:axId val="203237248"/>
        <c:scaling>
          <c:orientation val="minMax"/>
        </c:scaling>
        <c:delete val="0"/>
        <c:axPos val="l"/>
        <c:majorGridlines/>
        <c:numFmt formatCode="0.00%" sourceLinked="1"/>
        <c:majorTickMark val="none"/>
        <c:minorTickMark val="none"/>
        <c:tickLblPos val="nextTo"/>
        <c:txPr>
          <a:bodyPr/>
          <a:lstStyle/>
          <a:p>
            <a:pPr>
              <a:defRPr sz="1600"/>
            </a:pPr>
            <a:endParaRPr lang="en-US"/>
          </a:p>
        </c:txPr>
        <c:crossAx val="203235328"/>
        <c:crosses val="autoZero"/>
        <c:crossBetween val="between"/>
      </c:valAx>
    </c:plotArea>
    <c:legend>
      <c:legendPos val="r"/>
      <c:layout>
        <c:manualLayout>
          <c:xMode val="edge"/>
          <c:yMode val="edge"/>
          <c:x val="0.10105716695029245"/>
          <c:y val="0.15637660387249749"/>
          <c:w val="0.80534238068226116"/>
          <c:h val="9.732542513788027E-2"/>
        </c:manualLayout>
      </c:layout>
      <c:overlay val="0"/>
      <c:txPr>
        <a:bodyPr/>
        <a:lstStyle/>
        <a:p>
          <a:pPr>
            <a:defRPr sz="1600" b="1"/>
          </a:pPr>
          <a:endParaRPr lang="en-US"/>
        </a:p>
      </c:txPr>
    </c:legend>
    <c:plotVisOnly val="1"/>
    <c:dispBlanksAs val="gap"/>
    <c:showDLblsOverMax val="0"/>
  </c:chart>
  <c:spPr>
    <a:solidFill>
      <a:schemeClr val="lt1"/>
    </a:solidFill>
    <a:ln w="9525"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US"/>
              <a:t>States Contribution</a:t>
            </a:r>
          </a:p>
        </c:rich>
      </c:tx>
      <c:layout/>
      <c:overlay val="0"/>
    </c:title>
    <c:autoTitleDeleted val="0"/>
    <c:plotArea>
      <c:layout/>
      <c:pieChart>
        <c:varyColors val="1"/>
        <c:ser>
          <c:idx val="0"/>
          <c:order val="0"/>
          <c:dLbls>
            <c:txPr>
              <a:bodyPr/>
              <a:lstStyle/>
              <a:p>
                <a:pPr>
                  <a:defRPr sz="1600"/>
                </a:pPr>
                <a:endParaRPr lang="en-US"/>
              </a:p>
            </c:txPr>
            <c:dLblPos val="outEnd"/>
            <c:showLegendKey val="0"/>
            <c:showVal val="0"/>
            <c:showCatName val="0"/>
            <c:showSerName val="0"/>
            <c:showPercent val="1"/>
            <c:showBubbleSize val="0"/>
            <c:showLeaderLines val="1"/>
          </c:dLbls>
          <c:cat>
            <c:strRef>
              <c:f>Analysis!$S$58:$S$63</c:f>
              <c:strCache>
                <c:ptCount val="6"/>
                <c:pt idx="0">
                  <c:v>Other 24 States</c:v>
                </c:pt>
                <c:pt idx="1">
                  <c:v>Uttar Pradesh</c:v>
                </c:pt>
                <c:pt idx="2">
                  <c:v>Madhya Pradesh</c:v>
                </c:pt>
                <c:pt idx="3">
                  <c:v>Gujarat</c:v>
                </c:pt>
                <c:pt idx="4">
                  <c:v>Maharashtra</c:v>
                </c:pt>
                <c:pt idx="5">
                  <c:v>Andhra Pradesh</c:v>
                </c:pt>
              </c:strCache>
            </c:strRef>
          </c:cat>
          <c:val>
            <c:numRef>
              <c:f>Analysis!$T$58:$T$63</c:f>
              <c:numCache>
                <c:formatCode>General</c:formatCode>
                <c:ptCount val="6"/>
                <c:pt idx="0">
                  <c:v>99978</c:v>
                </c:pt>
                <c:pt idx="1">
                  <c:v>25611</c:v>
                </c:pt>
                <c:pt idx="2">
                  <c:v>21326</c:v>
                </c:pt>
                <c:pt idx="3">
                  <c:v>18312</c:v>
                </c:pt>
                <c:pt idx="4">
                  <c:v>16045</c:v>
                </c:pt>
                <c:pt idx="5">
                  <c:v>13994</c:v>
                </c:pt>
              </c:numCache>
            </c:numRef>
          </c:val>
        </c:ser>
        <c:dLbls>
          <c:dLblPos val="outEnd"/>
          <c:showLegendKey val="0"/>
          <c:showVal val="0"/>
          <c:showCatName val="0"/>
          <c:showSerName val="0"/>
          <c:showPercent val="1"/>
          <c:showBubbleSize val="0"/>
          <c:showLeaderLines val="1"/>
        </c:dLbls>
        <c:firstSliceAng val="0"/>
      </c:pieChart>
    </c:plotArea>
    <c:legend>
      <c:legendPos val="r"/>
      <c:layout>
        <c:manualLayout>
          <c:xMode val="edge"/>
          <c:yMode val="edge"/>
          <c:x val="0.71055830719893942"/>
          <c:y val="0.13820575706725183"/>
          <c:w val="0.26422197253234875"/>
          <c:h val="0.7576992384148703"/>
        </c:manualLayout>
      </c:layout>
      <c:overlay val="0"/>
      <c:txPr>
        <a:bodyPr/>
        <a:lstStyle/>
        <a:p>
          <a:pPr>
            <a:defRPr sz="16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[milk_production_analysis_new.xlsx]Analysis!PivotTable2</c:name>
    <c:fmtId val="2"/>
  </c:pivotSource>
  <c:chart>
    <c:title>
      <c:tx>
        <c:rich>
          <a:bodyPr/>
          <a:lstStyle/>
          <a:p>
            <a:pPr>
              <a:defRPr/>
            </a:pPr>
            <a:r>
              <a:rPr lang="en-US"/>
              <a:t>Regional Contribution</a:t>
            </a:r>
          </a:p>
        </c:rich>
      </c:tx>
      <c:layout>
        <c:manualLayout>
          <c:xMode val="edge"/>
          <c:yMode val="edge"/>
          <c:x val="0.26435411198600173"/>
          <c:y val="4.6296296296296294E-3"/>
        </c:manualLayout>
      </c:layout>
      <c:overlay val="0"/>
    </c:title>
    <c:autoTitleDeleted val="0"/>
    <c:pivotFmts>
      <c:pivotFmt>
        <c:idx val="0"/>
        <c:dLbl>
          <c:idx val="0"/>
          <c:dLblPos val="outEnd"/>
          <c:showLegendKey val="0"/>
          <c:showVal val="0"/>
          <c:showCatName val="0"/>
          <c:showSerName val="0"/>
          <c:showPercent val="1"/>
          <c:showBubbleSize val="0"/>
        </c:dLbl>
      </c:pivotFmt>
      <c:pivotFmt>
        <c:idx val="1"/>
        <c:dLbl>
          <c:idx val="0"/>
          <c:showLegendKey val="0"/>
          <c:showVal val="0"/>
          <c:showCatName val="1"/>
          <c:showSerName val="0"/>
          <c:showPercent val="1"/>
          <c:showBubbleSize val="0"/>
        </c:dLbl>
      </c:pivotFmt>
      <c:pivotFmt>
        <c:idx val="2"/>
        <c:dLbl>
          <c:idx val="0"/>
          <c:dLblPos val="outEnd"/>
          <c:showLegendKey val="0"/>
          <c:showVal val="0"/>
          <c:showCatName val="0"/>
          <c:showSerName val="0"/>
          <c:showPercent val="1"/>
          <c:showBubbleSize val="0"/>
        </c:dLbl>
      </c:pivotFmt>
      <c:pivotFmt>
        <c:idx val="3"/>
        <c:dLbl>
          <c:idx val="0"/>
          <c:showLegendKey val="0"/>
          <c:showVal val="0"/>
          <c:showCatName val="1"/>
          <c:showSerName val="0"/>
          <c:showPercent val="1"/>
          <c:showBubbleSize val="0"/>
        </c:dLbl>
      </c:pivotFmt>
      <c:pivotFmt>
        <c:idx val="4"/>
        <c:marker>
          <c:symbol val="none"/>
        </c:marker>
        <c:dLbl>
          <c:idx val="0"/>
          <c:layout/>
          <c:dLblPos val="outEnd"/>
          <c:showLegendKey val="0"/>
          <c:showVal val="0"/>
          <c:showCatName val="0"/>
          <c:showSerName val="0"/>
          <c:showPercent val="1"/>
          <c:showBubbleSize val="0"/>
        </c:dLbl>
      </c:pivotFmt>
      <c:pivotFmt>
        <c:idx val="5"/>
        <c:marker>
          <c:symbol val="none"/>
        </c:marker>
        <c:dLbl>
          <c:idx val="0"/>
          <c:showLegendKey val="0"/>
          <c:showVal val="0"/>
          <c:showCatName val="1"/>
          <c:showSerName val="0"/>
          <c:showPercent val="1"/>
          <c:showBubbleSize val="0"/>
        </c:dLbl>
      </c:pivotFmt>
    </c:pivotFmts>
    <c:plotArea>
      <c:layout/>
      <c:pieChart>
        <c:varyColors val="1"/>
        <c:ser>
          <c:idx val="0"/>
          <c:order val="0"/>
          <c:tx>
            <c:strRef>
              <c:f>Analysis!$B$50</c:f>
              <c:strCache>
                <c:ptCount val="1"/>
                <c:pt idx="0">
                  <c:v>Sum of Milk</c:v>
                </c:pt>
              </c:strCache>
            </c:strRef>
          </c:tx>
          <c:dLbls>
            <c:spPr/>
            <c:txPr>
              <a:bodyPr/>
              <a:lstStyle/>
              <a:p>
                <a:pPr>
                  <a:defRPr/>
                </a:pPr>
                <a:endParaRPr lang="en-US"/>
              </a:p>
            </c:txPr>
            <c:dLblPos val="outEnd"/>
            <c:showLegendKey val="0"/>
            <c:showVal val="0"/>
            <c:showCatName val="0"/>
            <c:showSerName val="0"/>
            <c:showPercent val="1"/>
            <c:showBubbleSize val="0"/>
            <c:showLeaderLines val="0"/>
          </c:dLbls>
          <c:cat>
            <c:strRef>
              <c:f>Analysis!$A$51:$A$57</c:f>
              <c:strCache>
                <c:ptCount val="6"/>
                <c:pt idx="0">
                  <c:v>North India</c:v>
                </c:pt>
                <c:pt idx="1">
                  <c:v>South India</c:v>
                </c:pt>
                <c:pt idx="2">
                  <c:v>West India</c:v>
                </c:pt>
                <c:pt idx="3">
                  <c:v>East India</c:v>
                </c:pt>
                <c:pt idx="4">
                  <c:v>Central India</c:v>
                </c:pt>
                <c:pt idx="5">
                  <c:v>North East India</c:v>
                </c:pt>
              </c:strCache>
            </c:strRef>
          </c:cat>
          <c:val>
            <c:numRef>
              <c:f>Analysis!$B$51:$B$57</c:f>
              <c:numCache>
                <c:formatCode>General</c:formatCode>
                <c:ptCount val="6"/>
                <c:pt idx="0">
                  <c:v>61120</c:v>
                </c:pt>
                <c:pt idx="1">
                  <c:v>47874</c:v>
                </c:pt>
                <c:pt idx="2">
                  <c:v>34421</c:v>
                </c:pt>
                <c:pt idx="3">
                  <c:v>26767</c:v>
                </c:pt>
                <c:pt idx="4">
                  <c:v>23450</c:v>
                </c:pt>
                <c:pt idx="5">
                  <c:v>1634</c:v>
                </c:pt>
              </c:numCache>
            </c:numRef>
          </c:val>
        </c:ser>
        <c:ser>
          <c:idx val="1"/>
          <c:order val="1"/>
          <c:tx>
            <c:strRef>
              <c:f>Analysis!$C$50</c:f>
              <c:strCache>
                <c:ptCount val="1"/>
                <c:pt idx="0">
                  <c:v>Average of Total Growth</c:v>
                </c:pt>
              </c:strCache>
            </c:strRef>
          </c:tx>
          <c:dLbls>
            <c:spPr/>
            <c:txPr>
              <a:bodyPr/>
              <a:lstStyle/>
              <a:p>
                <a:pPr>
                  <a:defRPr/>
                </a:pPr>
                <a:endParaRPr lang="en-US"/>
              </a:p>
            </c:txPr>
            <c:showLegendKey val="0"/>
            <c:showVal val="0"/>
            <c:showCatName val="1"/>
            <c:showSerName val="0"/>
            <c:showPercent val="1"/>
            <c:showBubbleSize val="0"/>
            <c:showLeaderLines val="0"/>
          </c:dLbls>
          <c:cat>
            <c:strRef>
              <c:f>Analysis!$A$51:$A$57</c:f>
              <c:strCache>
                <c:ptCount val="6"/>
                <c:pt idx="0">
                  <c:v>North India</c:v>
                </c:pt>
                <c:pt idx="1">
                  <c:v>South India</c:v>
                </c:pt>
                <c:pt idx="2">
                  <c:v>West India</c:v>
                </c:pt>
                <c:pt idx="3">
                  <c:v>East India</c:v>
                </c:pt>
                <c:pt idx="4">
                  <c:v>Central India</c:v>
                </c:pt>
                <c:pt idx="5">
                  <c:v>North East India</c:v>
                </c:pt>
              </c:strCache>
            </c:strRef>
          </c:cat>
          <c:val>
            <c:numRef>
              <c:f>Analysis!$C$51:$C$57</c:f>
              <c:numCache>
                <c:formatCode>0.00%</c:formatCode>
                <c:ptCount val="6"/>
                <c:pt idx="0">
                  <c:v>0</c:v>
                </c:pt>
                <c:pt idx="1">
                  <c:v>0</c:v>
                </c:pt>
                <c:pt idx="2">
                  <c:v>0</c:v>
                </c:pt>
                <c:pt idx="3">
                  <c:v>0</c:v>
                </c:pt>
                <c:pt idx="4">
                  <c:v>0</c:v>
                </c:pt>
                <c:pt idx="5">
                  <c:v>0</c:v>
                </c:pt>
              </c:numCache>
            </c:numRef>
          </c:val>
        </c:ser>
        <c:dLbls>
          <c:showLegendKey val="0"/>
          <c:showVal val="0"/>
          <c:showCatName val="1"/>
          <c:showSerName val="0"/>
          <c:showPercent val="1"/>
          <c:showBubbleSize val="0"/>
          <c:showLeaderLines val="0"/>
        </c:dLbls>
        <c:firstSliceAng val="0"/>
      </c:pieChart>
    </c:plotArea>
    <c:legend>
      <c:legendPos val="r"/>
      <c:layout/>
      <c:overlay val="0"/>
      <c:txPr>
        <a:bodyPr/>
        <a:lstStyle/>
        <a:p>
          <a:pPr>
            <a:defRPr sz="16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pPr>
            <a:r>
              <a:rPr lang="en-US" sz="2000"/>
              <a:t>Regional Growth 2001-24</a:t>
            </a:r>
          </a:p>
        </c:rich>
      </c:tx>
      <c:layout/>
      <c:overlay val="0"/>
    </c:title>
    <c:autoTitleDeleted val="0"/>
    <c:plotArea>
      <c:layout>
        <c:manualLayout>
          <c:layoutTarget val="inner"/>
          <c:xMode val="edge"/>
          <c:yMode val="edge"/>
          <c:x val="0.32126763168448619"/>
          <c:y val="0.12483283084038287"/>
          <c:w val="0.59456659849995752"/>
          <c:h val="0.842453414512777"/>
        </c:manualLayout>
      </c:layout>
      <c:barChart>
        <c:barDir val="bar"/>
        <c:grouping val="clustered"/>
        <c:varyColors val="0"/>
        <c:ser>
          <c:idx val="0"/>
          <c:order val="0"/>
          <c:invertIfNegative val="0"/>
          <c:dLbls>
            <c:txPr>
              <a:bodyPr/>
              <a:lstStyle/>
              <a:p>
                <a:pPr>
                  <a:defRPr sz="1600"/>
                </a:pPr>
                <a:endParaRPr lang="en-US"/>
              </a:p>
            </c:txPr>
            <c:showLegendKey val="0"/>
            <c:showVal val="1"/>
            <c:showCatName val="0"/>
            <c:showSerName val="0"/>
            <c:showPercent val="0"/>
            <c:showBubbleSize val="0"/>
            <c:showLeaderLines val="0"/>
          </c:dLbls>
          <c:cat>
            <c:strRef>
              <c:f>Analysis!$E$52:$E$57</c:f>
              <c:strCache>
                <c:ptCount val="6"/>
                <c:pt idx="0">
                  <c:v>North East India</c:v>
                </c:pt>
                <c:pt idx="1">
                  <c:v>North India</c:v>
                </c:pt>
                <c:pt idx="2">
                  <c:v>South India</c:v>
                </c:pt>
                <c:pt idx="3">
                  <c:v>West India</c:v>
                </c:pt>
                <c:pt idx="4">
                  <c:v>East India</c:v>
                </c:pt>
                <c:pt idx="5">
                  <c:v>Central India</c:v>
                </c:pt>
              </c:strCache>
            </c:strRef>
          </c:cat>
          <c:val>
            <c:numRef>
              <c:f>Analysis!$F$52:$F$57</c:f>
              <c:numCache>
                <c:formatCode>0.00%</c:formatCode>
                <c:ptCount val="6"/>
                <c:pt idx="0">
                  <c:v>2.6298224043859723E-2</c:v>
                </c:pt>
                <c:pt idx="1">
                  <c:v>3.5650787985902009E-2</c:v>
                </c:pt>
                <c:pt idx="2">
                  <c:v>4.442670406928844E-2</c:v>
                </c:pt>
                <c:pt idx="3">
                  <c:v>6.0565048724340105E-2</c:v>
                </c:pt>
                <c:pt idx="4">
                  <c:v>9.2977624553891525E-2</c:v>
                </c:pt>
                <c:pt idx="5">
                  <c:v>0.1023569494114653</c:v>
                </c:pt>
              </c:numCache>
            </c:numRef>
          </c:val>
        </c:ser>
        <c:dLbls>
          <c:showLegendKey val="0"/>
          <c:showVal val="1"/>
          <c:showCatName val="0"/>
          <c:showSerName val="0"/>
          <c:showPercent val="0"/>
          <c:showBubbleSize val="0"/>
        </c:dLbls>
        <c:gapWidth val="150"/>
        <c:overlap val="-25"/>
        <c:axId val="203207040"/>
        <c:axId val="203208576"/>
      </c:barChart>
      <c:catAx>
        <c:axId val="203207040"/>
        <c:scaling>
          <c:orientation val="minMax"/>
        </c:scaling>
        <c:delete val="0"/>
        <c:axPos val="l"/>
        <c:majorTickMark val="none"/>
        <c:minorTickMark val="none"/>
        <c:tickLblPos val="nextTo"/>
        <c:txPr>
          <a:bodyPr/>
          <a:lstStyle/>
          <a:p>
            <a:pPr>
              <a:defRPr sz="1600"/>
            </a:pPr>
            <a:endParaRPr lang="en-US"/>
          </a:p>
        </c:txPr>
        <c:crossAx val="203208576"/>
        <c:crosses val="autoZero"/>
        <c:auto val="1"/>
        <c:lblAlgn val="ctr"/>
        <c:lblOffset val="100"/>
        <c:noMultiLvlLbl val="0"/>
      </c:catAx>
      <c:valAx>
        <c:axId val="203208576"/>
        <c:scaling>
          <c:orientation val="minMax"/>
        </c:scaling>
        <c:delete val="1"/>
        <c:axPos val="b"/>
        <c:numFmt formatCode="0.00%" sourceLinked="1"/>
        <c:majorTickMark val="out"/>
        <c:minorTickMark val="none"/>
        <c:tickLblPos val="nextTo"/>
        <c:crossAx val="203207040"/>
        <c:crosses val="autoZero"/>
        <c:crossBetween val="between"/>
      </c:valAx>
    </c:plotArea>
    <c:plotVisOnly val="1"/>
    <c:dispBlanksAs val="gap"/>
    <c:showDLblsOverMax val="0"/>
  </c:chart>
  <c:spPr>
    <a:solidFill>
      <a:schemeClr val="lt1"/>
    </a:solidFill>
    <a:ln w="9525"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[milk_production_analysis_new.xlsx]Analysis!Emerging States Highest Growth</c:name>
    <c:fmtId val="2"/>
  </c:pivotSource>
  <c:chart>
    <c:title>
      <c:tx>
        <c:rich>
          <a:bodyPr/>
          <a:lstStyle/>
          <a:p>
            <a:pPr>
              <a:defRPr sz="2000"/>
            </a:pPr>
            <a:r>
              <a:rPr lang="en-US" sz="2000"/>
              <a:t>Emerging States (Highest Growth)</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sz="1800"/>
              </a:pPr>
              <a:endParaRPr lang="en-US"/>
            </a:p>
          </c:txPr>
          <c:showLegendKey val="0"/>
          <c:showVal val="1"/>
          <c:showCatName val="0"/>
          <c:showSerName val="0"/>
          <c:showPercent val="0"/>
          <c:showBubbleSize val="0"/>
        </c:dLbl>
      </c:pivotFmt>
    </c:pivotFmts>
    <c:plotArea>
      <c:layout>
        <c:manualLayout>
          <c:layoutTarget val="inner"/>
          <c:xMode val="edge"/>
          <c:yMode val="edge"/>
          <c:x val="1.6936104695919937E-2"/>
          <c:y val="0.11528882859015627"/>
          <c:w val="0.69501348705545751"/>
          <c:h val="0.85615829534628995"/>
        </c:manualLayout>
      </c:layout>
      <c:barChart>
        <c:barDir val="bar"/>
        <c:grouping val="clustered"/>
        <c:varyColors val="0"/>
        <c:ser>
          <c:idx val="0"/>
          <c:order val="0"/>
          <c:tx>
            <c:strRef>
              <c:f>Analysis!$AB$33</c:f>
              <c:strCache>
                <c:ptCount val="1"/>
                <c:pt idx="0">
                  <c:v>Total</c:v>
                </c:pt>
              </c:strCache>
            </c:strRef>
          </c:tx>
          <c:invertIfNegative val="0"/>
          <c:dLbls>
            <c:spPr/>
            <c:txPr>
              <a:bodyPr/>
              <a:lstStyle/>
              <a:p>
                <a:pPr>
                  <a:defRPr sz="1800"/>
                </a:pPr>
                <a:endParaRPr lang="en-US"/>
              </a:p>
            </c:txPr>
            <c:showLegendKey val="0"/>
            <c:showVal val="1"/>
            <c:showCatName val="0"/>
            <c:showSerName val="0"/>
            <c:showPercent val="0"/>
            <c:showBubbleSize val="0"/>
            <c:showLeaderLines val="0"/>
          </c:dLbls>
          <c:cat>
            <c:strRef>
              <c:f>Analysis!$AA$34:$AA$36</c:f>
              <c:strCache>
                <c:ptCount val="2"/>
                <c:pt idx="0">
                  <c:v>Chhattisgarh</c:v>
                </c:pt>
                <c:pt idx="1">
                  <c:v>Madhya Pradesh</c:v>
                </c:pt>
              </c:strCache>
            </c:strRef>
          </c:cat>
          <c:val>
            <c:numRef>
              <c:f>Analysis!$AB$34:$AB$36</c:f>
              <c:numCache>
                <c:formatCode>0.00%</c:formatCode>
                <c:ptCount val="2"/>
                <c:pt idx="0">
                  <c:v>1.6716981132075472</c:v>
                </c:pt>
                <c:pt idx="1">
                  <c:v>3.0367215597198562</c:v>
                </c:pt>
              </c:numCache>
            </c:numRef>
          </c:val>
        </c:ser>
        <c:dLbls>
          <c:showLegendKey val="0"/>
          <c:showVal val="1"/>
          <c:showCatName val="0"/>
          <c:showSerName val="0"/>
          <c:showPercent val="0"/>
          <c:showBubbleSize val="0"/>
        </c:dLbls>
        <c:gapWidth val="150"/>
        <c:overlap val="-25"/>
        <c:axId val="203314304"/>
        <c:axId val="203329536"/>
      </c:barChart>
      <c:catAx>
        <c:axId val="203314304"/>
        <c:scaling>
          <c:orientation val="minMax"/>
        </c:scaling>
        <c:delete val="0"/>
        <c:axPos val="l"/>
        <c:majorTickMark val="none"/>
        <c:minorTickMark val="none"/>
        <c:tickLblPos val="nextTo"/>
        <c:txPr>
          <a:bodyPr/>
          <a:lstStyle/>
          <a:p>
            <a:pPr>
              <a:defRPr sz="1600"/>
            </a:pPr>
            <a:endParaRPr lang="en-US"/>
          </a:p>
        </c:txPr>
        <c:crossAx val="203329536"/>
        <c:crosses val="autoZero"/>
        <c:auto val="1"/>
        <c:lblAlgn val="ctr"/>
        <c:lblOffset val="100"/>
        <c:noMultiLvlLbl val="0"/>
      </c:catAx>
      <c:valAx>
        <c:axId val="203329536"/>
        <c:scaling>
          <c:orientation val="minMax"/>
        </c:scaling>
        <c:delete val="1"/>
        <c:axPos val="b"/>
        <c:numFmt formatCode="0.00%" sourceLinked="1"/>
        <c:majorTickMark val="out"/>
        <c:minorTickMark val="none"/>
        <c:tickLblPos val="nextTo"/>
        <c:crossAx val="203314304"/>
        <c:crosses val="autoZero"/>
        <c:crossBetween val="between"/>
      </c:valAx>
    </c:plotArea>
    <c:plotVisOnly val="1"/>
    <c:dispBlanksAs val="gap"/>
    <c:showDLblsOverMax val="0"/>
  </c:chart>
  <c:spPr>
    <a:solidFill>
      <a:schemeClr val="lt1"/>
    </a:solidFill>
    <a:ln w="9525"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[milk_production_analysis_new.xlsx]Analysis!regional concentration</c:name>
    <c:fmtId val="2"/>
  </c:pivotSource>
  <c:chart>
    <c:title>
      <c:tx>
        <c:rich>
          <a:bodyPr/>
          <a:lstStyle/>
          <a:p>
            <a:pPr>
              <a:defRPr/>
            </a:pPr>
            <a:r>
              <a:rPr lang="en-US"/>
              <a:t>Regional Concentration (Filter by Region)</a:t>
            </a:r>
          </a:p>
        </c:rich>
      </c:tx>
      <c:layout/>
      <c:overlay val="0"/>
    </c:title>
    <c:autoTitleDeleted val="0"/>
    <c:pivotFmts>
      <c:pivotFmt>
        <c:idx val="0"/>
      </c:pivotFmt>
      <c:pivotFmt>
        <c:idx val="1"/>
      </c:pivotFmt>
      <c:pivotFmt>
        <c:idx val="2"/>
        <c:marker>
          <c:symbol val="none"/>
        </c:marker>
        <c:dLbl>
          <c:idx val="0"/>
          <c:layout/>
          <c:dLblPos val="outEnd"/>
          <c:showLegendKey val="0"/>
          <c:showVal val="0"/>
          <c:showCatName val="0"/>
          <c:showSerName val="0"/>
          <c:showPercent val="1"/>
          <c:showBubbleSize val="0"/>
        </c:dLbl>
      </c:pivotFmt>
    </c:pivotFmts>
    <c:plotArea>
      <c:layout>
        <c:manualLayout>
          <c:layoutTarget val="inner"/>
          <c:xMode val="edge"/>
          <c:yMode val="edge"/>
          <c:x val="0.11227292211334765"/>
          <c:y val="0.39402239377714304"/>
          <c:w val="0.80560839869350498"/>
          <c:h val="0.56406732953602956"/>
        </c:manualLayout>
      </c:layout>
      <c:pieChart>
        <c:varyColors val="1"/>
        <c:ser>
          <c:idx val="0"/>
          <c:order val="0"/>
          <c:tx>
            <c:strRef>
              <c:f>Analysis!$W$5</c:f>
              <c:strCache>
                <c:ptCount val="1"/>
                <c:pt idx="0">
                  <c:v>Total</c:v>
                </c:pt>
              </c:strCache>
            </c:strRef>
          </c:tx>
          <c:dLbls>
            <c:spPr/>
            <c:txPr>
              <a:bodyPr/>
              <a:lstStyle/>
              <a:p>
                <a:pPr>
                  <a:defRPr/>
                </a:pPr>
                <a:endParaRPr lang="en-US"/>
              </a:p>
            </c:txPr>
            <c:dLblPos val="outEnd"/>
            <c:showLegendKey val="0"/>
            <c:showVal val="0"/>
            <c:showCatName val="0"/>
            <c:showSerName val="0"/>
            <c:showPercent val="1"/>
            <c:showBubbleSize val="0"/>
            <c:showLeaderLines val="0"/>
          </c:dLbls>
          <c:cat>
            <c:strRef>
              <c:f>Analysis!$V$6:$V$8</c:f>
              <c:strCache>
                <c:ptCount val="2"/>
                <c:pt idx="0">
                  <c:v>Madhya Pradesh</c:v>
                </c:pt>
                <c:pt idx="1">
                  <c:v>Chhattisgarh</c:v>
                </c:pt>
              </c:strCache>
            </c:strRef>
          </c:cat>
          <c:val>
            <c:numRef>
              <c:f>Analysis!$W$6:$W$8</c:f>
              <c:numCache>
                <c:formatCode>General</c:formatCode>
                <c:ptCount val="2"/>
                <c:pt idx="0">
                  <c:v>21326</c:v>
                </c:pt>
                <c:pt idx="1">
                  <c:v>2124</c:v>
                </c:pt>
              </c:numCache>
            </c:numRef>
          </c:val>
        </c:ser>
        <c:dLbls>
          <c:showLegendKey val="0"/>
          <c:showVal val="1"/>
          <c:showCatName val="0"/>
          <c:showSerName val="0"/>
          <c:showPercent val="0"/>
          <c:showBubbleSize val="0"/>
          <c:showLeaderLines val="0"/>
        </c:dLbls>
        <c:firstSliceAng val="0"/>
      </c:pieChart>
    </c:plotArea>
    <c:legend>
      <c:legendPos val="t"/>
      <c:layout>
        <c:manualLayout>
          <c:xMode val="edge"/>
          <c:yMode val="edge"/>
          <c:x val="8.395770895770896E-2"/>
          <c:y val="0.12567021499898767"/>
          <c:w val="0.83208458208458214"/>
          <c:h val="0.14983921643940851"/>
        </c:manualLayout>
      </c:layout>
      <c:overlay val="0"/>
      <c:txPr>
        <a:bodyPr/>
        <a:lstStyle/>
        <a:p>
          <a:pPr>
            <a:defRPr sz="16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17994</xdr:colOff>
      <xdr:row>34</xdr:row>
      <xdr:rowOff>0</xdr:rowOff>
    </xdr:from>
    <xdr:to>
      <xdr:col>9</xdr:col>
      <xdr:colOff>1127125</xdr:colOff>
      <xdr:row>59</xdr:row>
      <xdr:rowOff>79375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52465</xdr:colOff>
      <xdr:row>13</xdr:row>
      <xdr:rowOff>95250</xdr:rowOff>
    </xdr:from>
    <xdr:to>
      <xdr:col>9</xdr:col>
      <xdr:colOff>1127125</xdr:colOff>
      <xdr:row>33</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1444625</xdr:colOff>
      <xdr:row>13</xdr:row>
      <xdr:rowOff>95250</xdr:rowOff>
    </xdr:from>
    <xdr:to>
      <xdr:col>15</xdr:col>
      <xdr:colOff>1095375</xdr:colOff>
      <xdr:row>37</xdr:row>
      <xdr:rowOff>84667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42333</xdr:colOff>
      <xdr:row>9</xdr:row>
      <xdr:rowOff>63500</xdr:rowOff>
    </xdr:from>
    <xdr:to>
      <xdr:col>36</xdr:col>
      <xdr:colOff>1666875</xdr:colOff>
      <xdr:row>29</xdr:row>
      <xdr:rowOff>63500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497419</xdr:colOff>
      <xdr:row>9</xdr:row>
      <xdr:rowOff>84667</xdr:rowOff>
    </xdr:from>
    <xdr:to>
      <xdr:col>31</xdr:col>
      <xdr:colOff>402166</xdr:colOff>
      <xdr:row>29</xdr:row>
      <xdr:rowOff>58208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21167</xdr:colOff>
      <xdr:row>31</xdr:row>
      <xdr:rowOff>63499</xdr:rowOff>
    </xdr:from>
    <xdr:to>
      <xdr:col>36</xdr:col>
      <xdr:colOff>1651000</xdr:colOff>
      <xdr:row>45</xdr:row>
      <xdr:rowOff>21166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1466850</xdr:colOff>
      <xdr:row>38</xdr:row>
      <xdr:rowOff>105833</xdr:rowOff>
    </xdr:from>
    <xdr:to>
      <xdr:col>15</xdr:col>
      <xdr:colOff>1095375</xdr:colOff>
      <xdr:row>59</xdr:row>
      <xdr:rowOff>79375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510572</xdr:colOff>
      <xdr:row>31</xdr:row>
      <xdr:rowOff>31750</xdr:rowOff>
    </xdr:from>
    <xdr:to>
      <xdr:col>31</xdr:col>
      <xdr:colOff>423334</xdr:colOff>
      <xdr:row>59</xdr:row>
      <xdr:rowOff>84667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194733</xdr:colOff>
      <xdr:row>7</xdr:row>
      <xdr:rowOff>67113</xdr:rowOff>
    </xdr:from>
    <xdr:to>
      <xdr:col>6</xdr:col>
      <xdr:colOff>123447</xdr:colOff>
      <xdr:row>8</xdr:row>
      <xdr:rowOff>21813</xdr:rowOff>
    </xdr:to>
    <xdr:pic>
      <xdr:nvPicPr>
        <xdr:cNvPr id="13" name="Picture 12"/>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263900" y="1802780"/>
          <a:ext cx="457880" cy="441533"/>
        </a:xfrm>
        <a:prstGeom prst="rect">
          <a:avLst/>
        </a:prstGeom>
      </xdr:spPr>
    </xdr:pic>
    <xdr:clientData/>
  </xdr:twoCellAnchor>
  <xdr:twoCellAnchor editAs="oneCell">
    <xdr:from>
      <xdr:col>11</xdr:col>
      <xdr:colOff>381000</xdr:colOff>
      <xdr:row>7</xdr:row>
      <xdr:rowOff>77032</xdr:rowOff>
    </xdr:from>
    <xdr:to>
      <xdr:col>11</xdr:col>
      <xdr:colOff>831000</xdr:colOff>
      <xdr:row>8</xdr:row>
      <xdr:rowOff>54228</xdr:rowOff>
    </xdr:to>
    <xdr:pic>
      <xdr:nvPicPr>
        <xdr:cNvPr id="14" name="Picture 13"/>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493500" y="1823282"/>
          <a:ext cx="450000" cy="469321"/>
        </a:xfrm>
        <a:prstGeom prst="rect">
          <a:avLst/>
        </a:prstGeom>
      </xdr:spPr>
    </xdr:pic>
    <xdr:clientData/>
  </xdr:twoCellAnchor>
  <xdr:twoCellAnchor editAs="oneCell">
    <xdr:from>
      <xdr:col>8</xdr:col>
      <xdr:colOff>342900</xdr:colOff>
      <xdr:row>7</xdr:row>
      <xdr:rowOff>88280</xdr:rowOff>
    </xdr:from>
    <xdr:to>
      <xdr:col>8</xdr:col>
      <xdr:colOff>792900</xdr:colOff>
      <xdr:row>8</xdr:row>
      <xdr:rowOff>42980</xdr:rowOff>
    </xdr:to>
    <xdr:pic>
      <xdr:nvPicPr>
        <xdr:cNvPr id="15" name="Picture 14"/>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534275" y="1834530"/>
          <a:ext cx="450000" cy="446825"/>
        </a:xfrm>
        <a:prstGeom prst="rect">
          <a:avLst/>
        </a:prstGeom>
      </xdr:spPr>
    </xdr:pic>
    <xdr:clientData/>
  </xdr:twoCellAnchor>
  <xdr:twoCellAnchor editAs="oneCell">
    <xdr:from>
      <xdr:col>14</xdr:col>
      <xdr:colOff>428625</xdr:colOff>
      <xdr:row>7</xdr:row>
      <xdr:rowOff>99922</xdr:rowOff>
    </xdr:from>
    <xdr:to>
      <xdr:col>14</xdr:col>
      <xdr:colOff>881491</xdr:colOff>
      <xdr:row>8</xdr:row>
      <xdr:rowOff>31338</xdr:rowOff>
    </xdr:to>
    <xdr:pic>
      <xdr:nvPicPr>
        <xdr:cNvPr id="16" name="Picture 15"/>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430500" y="1846172"/>
          <a:ext cx="452866" cy="423541"/>
        </a:xfrm>
        <a:prstGeom prst="rect">
          <a:avLst/>
        </a:prstGeom>
      </xdr:spPr>
    </xdr:pic>
    <xdr:clientData/>
  </xdr:twoCellAnchor>
  <xdr:twoCellAnchor>
    <xdr:from>
      <xdr:col>0</xdr:col>
      <xdr:colOff>246062</xdr:colOff>
      <xdr:row>5</xdr:row>
      <xdr:rowOff>126999</xdr:rowOff>
    </xdr:from>
    <xdr:to>
      <xdr:col>37</xdr:col>
      <xdr:colOff>190500</xdr:colOff>
      <xdr:row>60</xdr:row>
      <xdr:rowOff>21166</xdr:rowOff>
    </xdr:to>
    <xdr:grpSp>
      <xdr:nvGrpSpPr>
        <xdr:cNvPr id="22" name="Group 21"/>
        <xdr:cNvGrpSpPr/>
      </xdr:nvGrpSpPr>
      <xdr:grpSpPr>
        <a:xfrm>
          <a:off x="246062" y="1079499"/>
          <a:ext cx="30170438" cy="12255500"/>
          <a:chOff x="246062" y="1079499"/>
          <a:chExt cx="30233938" cy="12255500"/>
        </a:xfrm>
      </xdr:grpSpPr>
      <xdr:grpSp>
        <xdr:nvGrpSpPr>
          <xdr:cNvPr id="5" name="Group 4"/>
          <xdr:cNvGrpSpPr/>
        </xdr:nvGrpSpPr>
        <xdr:grpSpPr>
          <a:xfrm>
            <a:off x="246062" y="1270909"/>
            <a:ext cx="2180167" cy="11915924"/>
            <a:chOff x="246062" y="1270909"/>
            <a:chExt cx="2184400" cy="11873591"/>
          </a:xfrm>
        </xdr:grpSpPr>
        <mc:AlternateContent xmlns:mc="http://schemas.openxmlformats.org/markup-compatibility/2006" xmlns:a14="http://schemas.microsoft.com/office/drawing/2010/main">
          <mc:Choice Requires="a14">
            <xdr:graphicFrame macro="">
              <xdr:nvGraphicFramePr>
                <xdr:cNvPr id="2" name="State"/>
                <xdr:cNvGraphicFramePr/>
              </xdr:nvGraphicFramePr>
              <xdr:xfrm>
                <a:off x="246062" y="3402996"/>
                <a:ext cx="2184400" cy="9741504"/>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46062" y="3402546"/>
                  <a:ext cx="2169864" cy="974246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Region"/>
                <xdr:cNvGraphicFramePr/>
              </xdr:nvGraphicFramePr>
              <xdr:xfrm>
                <a:off x="246062" y="1270909"/>
                <a:ext cx="2184400" cy="201415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6062" y="1270248"/>
                  <a:ext cx="2169864" cy="201435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sp macro="" textlink="">
        <xdr:nvSpPr>
          <xdr:cNvPr id="18" name="Rectangle 17"/>
          <xdr:cNvSpPr/>
        </xdr:nvSpPr>
        <xdr:spPr>
          <a:xfrm>
            <a:off x="2857500" y="1079499"/>
            <a:ext cx="27622500" cy="12255500"/>
          </a:xfrm>
          <a:prstGeom prst="rect">
            <a:avLst/>
          </a:prstGeom>
          <a:solidFill>
            <a:schemeClr val="accent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23</xdr:col>
      <xdr:colOff>275167</xdr:colOff>
      <xdr:row>6</xdr:row>
      <xdr:rowOff>84667</xdr:rowOff>
    </xdr:from>
    <xdr:to>
      <xdr:col>31</xdr:col>
      <xdr:colOff>190500</xdr:colOff>
      <xdr:row>7</xdr:row>
      <xdr:rowOff>434364</xdr:rowOff>
    </xdr:to>
    <xdr:pic>
      <xdr:nvPicPr>
        <xdr:cNvPr id="19" name="Picture 18"/>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055667" y="1397000"/>
          <a:ext cx="762000" cy="773031"/>
        </a:xfrm>
        <a:prstGeom prst="rect">
          <a:avLst/>
        </a:prstGeom>
      </xdr:spPr>
    </xdr:pic>
    <xdr:clientData/>
  </xdr:twoCellAnchor>
  <xdr:twoCellAnchor editAs="oneCell">
    <xdr:from>
      <xdr:col>9</xdr:col>
      <xdr:colOff>465667</xdr:colOff>
      <xdr:row>9</xdr:row>
      <xdr:rowOff>177799</xdr:rowOff>
    </xdr:from>
    <xdr:to>
      <xdr:col>9</xdr:col>
      <xdr:colOff>1079500</xdr:colOff>
      <xdr:row>11</xdr:row>
      <xdr:rowOff>203200</xdr:rowOff>
    </xdr:to>
    <xdr:pic>
      <xdr:nvPicPr>
        <xdr:cNvPr id="21" name="Picture 20"/>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657167" y="2616199"/>
          <a:ext cx="613833" cy="4064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09.882767361109" createdVersion="4" refreshedVersion="4" minRefreshableVersion="3" recordCount="688">
  <cacheSource type="worksheet">
    <worksheetSource name="Table1"/>
  </cacheSource>
  <cacheFields count="6">
    <cacheField name="Year" numFmtId="0">
      <sharedItems count="23">
        <s v="2001-02"/>
        <s v="2002-03"/>
        <s v="2003-04"/>
        <s v="2004-05"/>
        <s v="2005-06"/>
        <s v="2006-07"/>
        <s v="2007-08"/>
        <s v="2008-09"/>
        <s v="2009-10"/>
        <s v="2010-11"/>
        <s v="2011-12"/>
        <s v="2012-13"/>
        <s v="2013-14"/>
        <s v="2014-15"/>
        <s v="2015-16"/>
        <s v="2016-17"/>
        <s v="2017-18"/>
        <s v="2018-19"/>
        <s v="2019-20"/>
        <s v="2020-21"/>
        <s v="2021-22"/>
        <s v="2022-23"/>
        <s v="2023-24"/>
      </sharedItems>
    </cacheField>
    <cacheField name="State" numFmtId="0">
      <sharedItems count="30">
        <s v="Andhra Pradesh"/>
        <s v="Arunanchal Pradesh"/>
        <s v="Assam"/>
        <s v="Bihar"/>
        <s v="Chhattisgarh"/>
        <s v="Goa"/>
        <s v="Gujarat"/>
        <s v="Haryana"/>
        <s v="Himachal Pradesh"/>
        <s v="Jammu Kashmir"/>
        <s v="Jharkhand"/>
        <s v="Karnataka"/>
        <s v="Kerala"/>
        <s v="Madhya Pradesh"/>
        <s v="Maharashtra"/>
        <s v="Manipur"/>
        <s v="Meghalaya"/>
        <s v="Mizoram"/>
        <s v="Nagaland"/>
        <s v="Odisha"/>
        <s v="Punjab"/>
        <s v="Rajasthan"/>
        <s v="Sikkim"/>
        <s v="Tamil Nadu"/>
        <s v="Telangana"/>
        <s v="Tripura"/>
        <s v="Uttar Pradesh"/>
        <s v="Uttarakhand"/>
        <s v="West Bengal"/>
        <s v="Delhi"/>
      </sharedItems>
    </cacheField>
    <cacheField name="Region" numFmtId="0">
      <sharedItems count="6">
        <s v="South India"/>
        <s v="North East India"/>
        <s v="East India"/>
        <s v="Central India"/>
        <s v="West India"/>
        <s v="North India"/>
      </sharedItems>
    </cacheField>
    <cacheField name="Milk" numFmtId="0">
      <sharedItems containsSemiMixedTypes="0" containsString="0" containsNumber="1" minValue="11" maxValue="25611"/>
    </cacheField>
    <cacheField name="Total Growth" numFmtId="2">
      <sharedItems containsSemiMixedTypes="0" containsString="0" containsNumber="1" minValue="-0.52380952380952384" maxValue="3.8246996996996998"/>
    </cacheField>
    <cacheField name="5 Year Rolling" numFmtId="0">
      <sharedItems containsSemiMixedTypes="0" containsString="0" containsNumber="1" minValue="0" maxValue="24625" count="665">
        <n v="0"/>
        <n v="6653.5"/>
        <n v="6847.6"/>
        <n v="7272.4"/>
        <n v="7740.6"/>
        <n v="8262.7999999999993"/>
        <n v="8897.2000000000007"/>
        <n v="9613"/>
        <n v="10443"/>
        <n v="11210.4"/>
        <n v="11897.8"/>
        <n v="11743.2"/>
        <n v="11666"/>
        <n v="11684"/>
        <n v="11876.6"/>
        <n v="12284"/>
        <n v="13405.4"/>
        <n v="14184.8"/>
        <n v="14829.8"/>
        <n v="15174.4"/>
        <n v="14964.4"/>
        <n v="11920.2"/>
        <n v="8986.6"/>
        <n v="5915.2"/>
        <n v="2835.2"/>
        <n v="46"/>
        <n v="47.4"/>
        <n v="44.6"/>
        <n v="40.200000000000003"/>
        <n v="35.799999999999997"/>
        <n v="31.8"/>
        <n v="26.4"/>
        <n v="24.6"/>
        <n v="28.4"/>
        <n v="32.4"/>
        <n v="36.799999999999997"/>
        <n v="43"/>
        <n v="49.2"/>
        <n v="51.6"/>
        <n v="54.6"/>
        <n v="53.4"/>
        <n v="52"/>
        <n v="50.4"/>
        <n v="43.4"/>
        <n v="167.6"/>
        <n v="299.8"/>
        <n v="436"/>
        <n v="574.6"/>
        <n v="720"/>
        <n v="733.6"/>
        <n v="743"/>
        <n v="748.2"/>
        <n v="751.6"/>
        <n v="760.2"/>
        <n v="769.4"/>
        <n v="779"/>
        <n v="791.4"/>
        <n v="806"/>
        <n v="816.6"/>
        <n v="829.6"/>
        <n v="844"/>
        <n v="857.4"/>
        <n v="875.6"/>
        <n v="897.8"/>
        <n v="922"/>
        <n v="948.8"/>
        <n v="990.8"/>
        <n v="1339.6"/>
        <n v="1722.6"/>
        <n v="2162.1999999999998"/>
        <n v="2909.6"/>
        <n v="3703.2"/>
        <n v="4260.6000000000004"/>
        <n v="4843.3999999999996"/>
        <n v="5394.2"/>
        <n v="5670.4"/>
        <n v="5961.8"/>
        <n v="6200.2"/>
        <n v="6412.6"/>
        <n v="6665.2"/>
        <n v="6995.4"/>
        <n v="7349.6"/>
        <n v="7763.2"/>
        <n v="8242.6"/>
        <n v="8766.7999999999993"/>
        <n v="9307.7999999999993"/>
        <n v="9950.6"/>
        <n v="10659"/>
        <n v="11311.2"/>
        <n v="11918.2"/>
        <n v="9981.2000000000007"/>
        <n v="7841.6"/>
        <n v="5553.4"/>
        <n v="3219"/>
        <n v="816.2"/>
        <n v="827"/>
        <n v="839.4"/>
        <n v="858.6"/>
        <n v="883.6"/>
        <n v="921.6"/>
        <n v="975.6"/>
        <n v="1035.2"/>
        <n v="1095.4000000000001"/>
        <n v="1150.5999999999999"/>
        <n v="1200.2"/>
        <n v="1251.2"/>
        <n v="1312.2"/>
        <n v="1383.8"/>
        <n v="1472.6"/>
        <n v="1566.6"/>
        <n v="1661.4"/>
        <n v="1758.8"/>
        <n v="1870.2"/>
        <n v="1544"/>
        <n v="1203.8"/>
        <n v="843.8"/>
        <n v="464"/>
        <n v="52.8"/>
        <n v="55.2"/>
        <n v="57.4"/>
        <n v="57.8"/>
        <n v="58.6"/>
        <n v="59.2"/>
        <n v="59.8"/>
        <n v="61.6"/>
        <n v="63.2"/>
        <n v="62"/>
        <n v="60.2"/>
        <n v="59"/>
        <n v="56.8"/>
        <n v="55.6"/>
        <n v="61"/>
        <n v="62.4"/>
        <n v="1222.5999999999999"/>
        <n v="2428.4"/>
        <n v="3700"/>
        <n v="5036.2"/>
        <n v="6415.4"/>
        <n v="6749.6"/>
        <n v="7114"/>
        <n v="7507"/>
        <n v="7926.8"/>
        <n v="8399"/>
        <n v="8855.7999999999993"/>
        <n v="9336.6"/>
        <n v="9881.7999999999993"/>
        <n v="10451.200000000001"/>
        <n v="11039.4"/>
        <n v="11632.8"/>
        <n v="12283.6"/>
        <n v="12959.8"/>
        <n v="13680"/>
        <n v="14398.2"/>
        <n v="15185.8"/>
        <n v="15928.2"/>
        <n v="16692"/>
        <n v="14629.2"/>
        <n v="12483.4"/>
        <n v="10183.200000000001"/>
        <n v="7771.4"/>
        <n v="5168.8"/>
        <n v="5246.4"/>
        <n v="5310"/>
        <n v="5414.8"/>
        <n v="5571.6"/>
        <n v="5765.2"/>
        <n v="6024.2"/>
        <n v="6343.8"/>
        <n v="6683.2"/>
        <n v="7062.2"/>
        <n v="7485"/>
        <n v="7947.8"/>
        <n v="8501.6"/>
        <n v="9158.4"/>
        <n v="9925.2000000000007"/>
        <n v="10505.8"/>
        <n v="11036.8"/>
        <n v="11468.2"/>
        <n v="11767"/>
        <n v="9571.2000000000007"/>
        <n v="7469"/>
        <n v="5300.2"/>
        <n v="3081"/>
        <n v="810.8"/>
        <n v="846.2"/>
        <n v="893"/>
        <n v="941"/>
        <n v="961.2"/>
        <n v="1007.8"/>
        <n v="1045.2"/>
        <n v="1071.5999999999999"/>
        <n v="1096.5999999999999"/>
        <n v="1136.8"/>
        <n v="1173"/>
        <n v="1214.8"/>
        <n v="1265.4000000000001"/>
        <n v="1327.2"/>
        <n v="1399"/>
        <n v="1457.6"/>
        <n v="1514.8"/>
        <n v="1559.8"/>
        <n v="1617.6"/>
        <n v="1583.4"/>
        <n v="1546"/>
        <n v="1505.8"/>
        <n v="1466.8"/>
        <n v="1397"/>
        <n v="1405"/>
        <n v="1431"/>
        <n v="1461.2"/>
        <n v="1495.2"/>
        <n v="1537"/>
        <n v="1579.8"/>
        <n v="1602.2"/>
        <n v="1612.2"/>
        <n v="1684"/>
        <n v="1816.8"/>
        <n v="1969.2"/>
        <n v="2135"/>
        <n v="2320"/>
        <n v="2431"/>
        <n v="2495.4"/>
        <n v="2565.6"/>
        <n v="2637"/>
        <n v="2704"/>
        <n v="2390.8000000000002"/>
        <n v="2062.1999999999998"/>
        <n v="1707.6"/>
        <n v="1410.2"/>
        <n v="1102.2"/>
        <n v="1194.4000000000001"/>
        <n v="1292.4000000000001"/>
        <n v="1394.8"/>
        <n v="1421.4"/>
        <n v="1465.4"/>
        <n v="1534.2"/>
        <n v="1581.6"/>
        <n v="1628.4"/>
        <n v="1682.6"/>
        <n v="1734"/>
        <n v="1763.8"/>
        <n v="1831.2"/>
        <n v="1927.8"/>
        <n v="2045.2"/>
        <n v="2169.6"/>
        <n v="2316.6"/>
        <n v="2468.1999999999998"/>
        <n v="2636.6"/>
        <n v="3131.8"/>
        <n v="3552.8"/>
        <n v="3798.4"/>
        <n v="4027"/>
        <n v="4226.3999999999996"/>
        <n v="4091.8"/>
        <n v="4032.8"/>
        <n v="4169"/>
        <n v="4350"/>
        <n v="4568.3999999999996"/>
        <n v="4833"/>
        <n v="5127.8"/>
        <n v="5419.6"/>
        <n v="5679.4"/>
        <n v="5925.4"/>
        <n v="6148.4"/>
        <n v="6432.2"/>
        <n v="6813"/>
        <n v="7395"/>
        <n v="8313.4"/>
        <n v="9360.2000000000007"/>
        <n v="10498.6"/>
        <n v="11611"/>
        <n v="10348.4"/>
        <n v="8645"/>
        <n v="6708"/>
        <n v="4547.2"/>
        <n v="2267.1999999999998"/>
        <n v="2147.4"/>
        <n v="2114.1999999999998"/>
        <n v="2180.1999999999998"/>
        <n v="2277"/>
        <n v="2393.4"/>
        <n v="2512.8000000000002"/>
        <n v="2620.4"/>
        <n v="2663.2"/>
        <n v="2703.6"/>
        <n v="2704.6"/>
        <n v="2665.4"/>
        <n v="2622.4"/>
        <n v="2601"/>
        <n v="2567.6"/>
        <n v="2544.4"/>
        <n v="2546.8000000000002"/>
        <n v="2547.6"/>
        <n v="2554"/>
        <n v="3101.8"/>
        <n v="3663.6"/>
        <n v="4234.8"/>
        <n v="4820"/>
        <n v="5560.6"/>
        <n v="5778.8"/>
        <n v="6024.6"/>
        <n v="6318"/>
        <n v="6650.2"/>
        <n v="6896.4"/>
        <n v="7251.4"/>
        <n v="7704.6"/>
        <n v="8253.4"/>
        <n v="8975.7999999999993"/>
        <n v="9902.6"/>
        <n v="10961.8"/>
        <n v="12136.8"/>
        <n v="13399.2"/>
        <n v="14665.2"/>
        <n v="15835.4"/>
        <n v="16947.2"/>
        <n v="18029"/>
        <n v="19112"/>
        <n v="16909"/>
        <n v="14556.8"/>
        <n v="12031.8"/>
        <n v="9320.7999999999993"/>
        <n v="6409.4"/>
        <n v="6586.2"/>
        <n v="6780.6"/>
        <n v="6995.8"/>
        <n v="7218.2"/>
        <n v="7473.2"/>
        <n v="8076.2"/>
        <n v="8403"/>
        <n v="8775.6"/>
        <n v="9197.4"/>
        <n v="9584"/>
        <n v="10057.6"/>
        <n v="10570.8"/>
        <n v="11067.2"/>
        <n v="11777.2"/>
        <n v="12557.8"/>
        <n v="13345.8"/>
        <n v="14223.8"/>
        <n v="11832.6"/>
        <n v="9105.7999999999993"/>
        <n v="6259"/>
        <n v="3265.6"/>
        <n v="72"/>
        <n v="73.8"/>
        <n v="75.599999999999994"/>
        <n v="77"/>
        <n v="77.599999999999994"/>
        <n v="77.8"/>
        <n v="78.2"/>
        <n v="78.599999999999994"/>
        <n v="79.400000000000006"/>
        <n v="80.2"/>
        <n v="80.400000000000006"/>
        <n v="80.8"/>
        <n v="81.599999999999994"/>
        <n v="83.2"/>
        <n v="81"/>
        <n v="79"/>
        <n v="74.400000000000006"/>
        <n v="69.599999999999994"/>
        <n v="69"/>
        <n v="67.599999999999994"/>
        <n v="67.400000000000006"/>
        <n v="69.400000000000006"/>
        <n v="71"/>
        <n v="72.8"/>
        <n v="75.8"/>
        <n v="80"/>
        <n v="82"/>
        <n v="82.8"/>
        <n v="83.6"/>
        <n v="84.6"/>
        <n v="85.6"/>
        <n v="86.6"/>
        <n v="87.8"/>
        <n v="89.6"/>
        <n v="91.6"/>
        <n v="76.8"/>
        <n v="47"/>
        <n v="31.4"/>
        <n v="15"/>
        <n v="15.4"/>
        <n v="15.8"/>
        <n v="16.2"/>
        <n v="15.2"/>
        <n v="14.4"/>
        <n v="14"/>
        <n v="13.4"/>
        <n v="13"/>
        <n v="14.8"/>
        <n v="17"/>
        <n v="19"/>
        <n v="21.2"/>
        <n v="23.4"/>
        <n v="24.2"/>
        <n v="24.8"/>
        <n v="24.96"/>
        <n v="31.360000000000003"/>
        <n v="37.760000000000005"/>
        <n v="45.56"/>
        <n v="54.36"/>
        <n v="64.2"/>
        <n v="66.2"/>
        <n v="63.6"/>
        <n v="63.4"/>
        <n v="63.8"/>
        <n v="66"/>
        <n v="78.400000000000006"/>
        <n v="78"/>
        <n v="77.400000000000006"/>
        <n v="73"/>
        <n v="68.8"/>
        <n v="65.2"/>
        <n v="60.4"/>
        <n v="56.4"/>
        <n v="229.8"/>
        <n v="406.8"/>
        <n v="594"/>
        <n v="840.6"/>
        <n v="1098.4000000000001"/>
        <n v="1198.8"/>
        <n v="1335.6"/>
        <n v="1455.8"/>
        <n v="1529.4"/>
        <n v="1595.2"/>
        <n v="1653.2"/>
        <n v="1673"/>
        <n v="1725.6"/>
        <n v="1776"/>
        <n v="1827.8"/>
        <n v="1884.2"/>
        <n v="1957"/>
        <n v="2047"/>
        <n v="2140.4"/>
        <n v="2229"/>
        <n v="2308.8000000000002"/>
        <n v="2386.4"/>
        <n v="2451.4"/>
        <n v="3523.6"/>
        <n v="4620"/>
        <n v="5729.2"/>
        <n v="6836.4"/>
        <n v="7923.4"/>
        <n v="8002.2"/>
        <n v="8067"/>
        <n v="8123.8"/>
        <n v="8178.4"/>
        <n v="8231.7999999999993"/>
        <n v="8285"/>
        <n v="8338"/>
        <n v="8391"/>
        <n v="8444"/>
        <n v="8497"/>
        <n v="8550"/>
        <n v="8603"/>
        <n v="8656"/>
        <n v="8709"/>
        <n v="8762"/>
        <n v="8815"/>
        <n v="8868"/>
        <n v="8921"/>
        <n v="8088.4"/>
        <n v="7266.8"/>
        <n v="6456.2"/>
        <n v="5656.6"/>
        <n v="4868"/>
        <n v="4976"/>
        <n v="5084"/>
        <n v="5192"/>
        <n v="5300"/>
        <n v="5408"/>
        <n v="5516"/>
        <n v="5624"/>
        <n v="5732"/>
        <n v="5840"/>
        <n v="5948"/>
        <n v="6056"/>
        <n v="6164"/>
        <n v="6272"/>
        <n v="6380"/>
        <n v="6488"/>
        <n v="6596"/>
        <n v="6704"/>
        <n v="6812"/>
        <n v="5497.4"/>
        <n v="4161.3999999999996"/>
        <n v="2803.8"/>
        <n v="1424.8"/>
        <n v="25"/>
        <n v="25.4"/>
        <n v="25.6"/>
        <n v="25.8"/>
        <n v="26.2"/>
        <n v="26.8"/>
        <n v="27.2"/>
        <n v="27.8"/>
        <n v="28.2"/>
        <n v="28.8"/>
        <n v="29.4"/>
        <n v="30.2"/>
        <n v="31"/>
        <n v="32"/>
        <n v="33"/>
        <n v="34"/>
        <n v="1022"/>
        <n v="2036.8"/>
        <n v="3077.8"/>
        <n v="4144.8"/>
        <n v="5237.6000000000004"/>
        <n v="5369.2"/>
        <n v="5499.8"/>
        <n v="5630"/>
        <n v="5760"/>
        <n v="5890"/>
        <n v="6020"/>
        <n v="6150"/>
        <n v="6280"/>
        <n v="6410"/>
        <n v="6540"/>
        <n v="6670"/>
        <n v="6800"/>
        <n v="6930"/>
        <n v="7060"/>
        <n v="7190"/>
        <n v="7320"/>
        <n v="7450"/>
        <n v="7580"/>
        <n v="6959.8"/>
        <n v="6375.8"/>
        <n v="5819.6"/>
        <n v="5287"/>
        <n v="4777"/>
        <n v="5046"/>
        <n v="5304.6"/>
        <n v="5554.2"/>
        <n v="5814.8"/>
        <n v="6076"/>
        <n v="6332.6"/>
        <n v="6582.4"/>
        <n v="6835.4"/>
        <n v="7077"/>
        <n v="7319.6"/>
        <n v="7563.2"/>
        <n v="7814"/>
        <n v="8070"/>
        <n v="8331"/>
        <n v="8597"/>
        <n v="9144"/>
        <n v="9425"/>
        <n v="7685"/>
        <n v="5890.8"/>
        <n v="4041.4"/>
        <n v="2135.8000000000002"/>
        <n v="173"/>
        <n v="178"/>
        <n v="183"/>
        <n v="188"/>
        <n v="193"/>
        <n v="198"/>
        <n v="203"/>
        <n v="208"/>
        <n v="213"/>
        <n v="218"/>
        <n v="223"/>
        <n v="228"/>
        <n v="233"/>
        <n v="238"/>
        <n v="243"/>
        <n v="248"/>
        <n v="253"/>
        <n v="258"/>
        <n v="263"/>
        <n v="3165.4"/>
        <n v="6165.4"/>
        <n v="9263"/>
        <n v="12458.2"/>
        <n v="15751"/>
        <n v="16244"/>
        <n v="16737"/>
        <n v="17230"/>
        <n v="17723"/>
        <n v="18216"/>
        <n v="18709"/>
        <n v="19202"/>
        <n v="19695"/>
        <n v="20188"/>
        <n v="20681"/>
        <n v="21174"/>
        <n v="21667"/>
        <n v="22160"/>
        <n v="22653"/>
        <n v="23146"/>
        <n v="23639"/>
        <n v="24132"/>
        <n v="24625"/>
        <n v="20140.2"/>
        <n v="15562.8"/>
        <n v="10892.8"/>
        <n v="6130.2"/>
        <n v="1275"/>
        <n v="1305"/>
        <n v="1335"/>
        <n v="1365"/>
        <n v="1395"/>
        <n v="1425"/>
        <n v="1455"/>
        <n v="1485"/>
        <n v="1515"/>
        <n v="1545"/>
        <n v="1575"/>
        <n v="1605"/>
        <n v="1635"/>
        <n v="1665"/>
        <n v="1695"/>
        <n v="1725"/>
        <n v="1755"/>
        <n v="1785"/>
        <n v="1815"/>
        <n v="2450.1999999999998"/>
        <n v="3109.6"/>
        <n v="3793.2"/>
        <n v="4501"/>
        <n v="5233"/>
        <n v="5384"/>
        <n v="5535"/>
        <n v="5686"/>
        <n v="5837"/>
        <n v="5988"/>
        <n v="6139"/>
        <n v="6290"/>
        <n v="6441"/>
        <n v="6592"/>
        <n v="6743"/>
        <n v="6894"/>
        <n v="7045"/>
        <n v="7196"/>
        <n v="7347"/>
        <n v="7498"/>
        <n v="7649"/>
        <n v="7800"/>
        <n v="7951"/>
        <n v="6506.6"/>
        <n v="5034.8"/>
        <n v="3535.6"/>
        <n v="2009"/>
        <n v="455"/>
        <n v="469"/>
        <n v="483"/>
        <n v="497"/>
        <n v="511"/>
        <n v="525"/>
        <n v="539"/>
        <n v="553"/>
        <n v="567"/>
        <n v="581"/>
        <n v="595"/>
        <n v="609"/>
        <n v="623"/>
        <n v="637"/>
        <n v="651"/>
        <n v="665"/>
        <n v="679"/>
        <n v="693"/>
        <n v="70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88">
  <r>
    <x v="0"/>
    <x v="0"/>
    <x v="0"/>
    <n v="5814"/>
    <n v="1.4069487444100448"/>
    <x v="0"/>
  </r>
  <r>
    <x v="1"/>
    <x v="0"/>
    <x v="0"/>
    <n v="6584"/>
    <n v="0"/>
    <x v="0"/>
  </r>
  <r>
    <x v="2"/>
    <x v="0"/>
    <x v="0"/>
    <n v="6959"/>
    <n v="0"/>
    <x v="0"/>
  </r>
  <r>
    <x v="3"/>
    <x v="0"/>
    <x v="0"/>
    <n v="7257"/>
    <n v="0"/>
    <x v="1"/>
  </r>
  <r>
    <x v="4"/>
    <x v="0"/>
    <x v="0"/>
    <n v="7624"/>
    <n v="0"/>
    <x v="2"/>
  </r>
  <r>
    <x v="5"/>
    <x v="0"/>
    <x v="0"/>
    <n v="7938"/>
    <n v="0"/>
    <x v="3"/>
  </r>
  <r>
    <x v="6"/>
    <x v="0"/>
    <x v="0"/>
    <n v="8925"/>
    <n v="0"/>
    <x v="4"/>
  </r>
  <r>
    <x v="7"/>
    <x v="0"/>
    <x v="0"/>
    <n v="9570"/>
    <n v="0"/>
    <x v="5"/>
  </r>
  <r>
    <x v="8"/>
    <x v="0"/>
    <x v="0"/>
    <n v="10429"/>
    <n v="0"/>
    <x v="6"/>
  </r>
  <r>
    <x v="9"/>
    <x v="0"/>
    <x v="0"/>
    <n v="11203"/>
    <n v="0"/>
    <x v="7"/>
  </r>
  <r>
    <x v="10"/>
    <x v="0"/>
    <x v="0"/>
    <n v="12088"/>
    <n v="0"/>
    <x v="8"/>
  </r>
  <r>
    <x v="11"/>
    <x v="0"/>
    <x v="0"/>
    <n v="12762"/>
    <n v="0"/>
    <x v="9"/>
  </r>
  <r>
    <x v="12"/>
    <x v="0"/>
    <x v="0"/>
    <n v="13007"/>
    <n v="0"/>
    <x v="10"/>
  </r>
  <r>
    <x v="13"/>
    <x v="0"/>
    <x v="0"/>
    <n v="9656"/>
    <n v="0"/>
    <x v="11"/>
  </r>
  <r>
    <x v="14"/>
    <x v="0"/>
    <x v="0"/>
    <n v="10817"/>
    <n v="0"/>
    <x v="12"/>
  </r>
  <r>
    <x v="15"/>
    <x v="0"/>
    <x v="0"/>
    <n v="12178"/>
    <n v="0"/>
    <x v="13"/>
  </r>
  <r>
    <x v="16"/>
    <x v="0"/>
    <x v="0"/>
    <n v="13725"/>
    <n v="0"/>
    <x v="14"/>
  </r>
  <r>
    <x v="17"/>
    <x v="0"/>
    <x v="0"/>
    <n v="15044"/>
    <n v="0"/>
    <x v="15"/>
  </r>
  <r>
    <x v="18"/>
    <x v="0"/>
    <x v="0"/>
    <n v="15263"/>
    <n v="0"/>
    <x v="16"/>
  </r>
  <r>
    <x v="19"/>
    <x v="0"/>
    <x v="0"/>
    <n v="14714"/>
    <n v="0"/>
    <x v="17"/>
  </r>
  <r>
    <x v="20"/>
    <x v="0"/>
    <x v="0"/>
    <n v="15403"/>
    <n v="0"/>
    <x v="18"/>
  </r>
  <r>
    <x v="21"/>
    <x v="0"/>
    <x v="0"/>
    <n v="15448"/>
    <n v="0"/>
    <x v="19"/>
  </r>
  <r>
    <x v="22"/>
    <x v="0"/>
    <x v="0"/>
    <n v="13994"/>
    <n v="0"/>
    <x v="20"/>
  </r>
  <r>
    <x v="0"/>
    <x v="1"/>
    <x v="1"/>
    <n v="42"/>
    <n v="-0.52380952380952384"/>
    <x v="21"/>
  </r>
  <r>
    <x v="1"/>
    <x v="1"/>
    <x v="1"/>
    <n v="46"/>
    <n v="0"/>
    <x v="22"/>
  </r>
  <r>
    <x v="2"/>
    <x v="1"/>
    <x v="1"/>
    <n v="46"/>
    <n v="0"/>
    <x v="23"/>
  </r>
  <r>
    <x v="3"/>
    <x v="1"/>
    <x v="1"/>
    <n v="48"/>
    <n v="0"/>
    <x v="24"/>
  </r>
  <r>
    <x v="4"/>
    <x v="1"/>
    <x v="1"/>
    <n v="48"/>
    <n v="0"/>
    <x v="25"/>
  </r>
  <r>
    <x v="5"/>
    <x v="1"/>
    <x v="1"/>
    <n v="49"/>
    <n v="0"/>
    <x v="26"/>
  </r>
  <r>
    <x v="6"/>
    <x v="1"/>
    <x v="1"/>
    <n v="32"/>
    <n v="0"/>
    <x v="27"/>
  </r>
  <r>
    <x v="7"/>
    <x v="1"/>
    <x v="1"/>
    <n v="24"/>
    <n v="0"/>
    <x v="28"/>
  </r>
  <r>
    <x v="8"/>
    <x v="1"/>
    <x v="1"/>
    <n v="26"/>
    <n v="0"/>
    <x v="29"/>
  </r>
  <r>
    <x v="9"/>
    <x v="1"/>
    <x v="1"/>
    <n v="28"/>
    <n v="0"/>
    <x v="30"/>
  </r>
  <r>
    <x v="10"/>
    <x v="1"/>
    <x v="1"/>
    <n v="22"/>
    <n v="0"/>
    <x v="31"/>
  </r>
  <r>
    <x v="11"/>
    <x v="1"/>
    <x v="1"/>
    <n v="23"/>
    <n v="0"/>
    <x v="32"/>
  </r>
  <r>
    <x v="12"/>
    <x v="1"/>
    <x v="1"/>
    <n v="43"/>
    <n v="0"/>
    <x v="33"/>
  </r>
  <r>
    <x v="13"/>
    <x v="1"/>
    <x v="1"/>
    <n v="46"/>
    <n v="0"/>
    <x v="34"/>
  </r>
  <r>
    <x v="14"/>
    <x v="1"/>
    <x v="1"/>
    <n v="50"/>
    <n v="0"/>
    <x v="35"/>
  </r>
  <r>
    <x v="15"/>
    <x v="1"/>
    <x v="1"/>
    <n v="53"/>
    <n v="0"/>
    <x v="36"/>
  </r>
  <r>
    <x v="16"/>
    <x v="1"/>
    <x v="1"/>
    <n v="54"/>
    <n v="0"/>
    <x v="37"/>
  </r>
  <r>
    <x v="17"/>
    <x v="1"/>
    <x v="1"/>
    <n v="55"/>
    <n v="0"/>
    <x v="38"/>
  </r>
  <r>
    <x v="18"/>
    <x v="1"/>
    <x v="1"/>
    <n v="61"/>
    <n v="0"/>
    <x v="39"/>
  </r>
  <r>
    <x v="19"/>
    <x v="1"/>
    <x v="1"/>
    <n v="44"/>
    <n v="0"/>
    <x v="40"/>
  </r>
  <r>
    <x v="20"/>
    <x v="1"/>
    <x v="1"/>
    <n v="46"/>
    <n v="0"/>
    <x v="41"/>
  </r>
  <r>
    <x v="21"/>
    <x v="1"/>
    <x v="1"/>
    <n v="46"/>
    <n v="0"/>
    <x v="42"/>
  </r>
  <r>
    <x v="22"/>
    <x v="1"/>
    <x v="1"/>
    <n v="20"/>
    <n v="0"/>
    <x v="43"/>
  </r>
  <r>
    <x v="0"/>
    <x v="2"/>
    <x v="1"/>
    <n v="682"/>
    <n v="0.60117302052785926"/>
    <x v="44"/>
  </r>
  <r>
    <x v="1"/>
    <x v="2"/>
    <x v="1"/>
    <n v="705"/>
    <n v="0"/>
    <x v="45"/>
  </r>
  <r>
    <x v="2"/>
    <x v="2"/>
    <x v="1"/>
    <n v="727"/>
    <n v="0"/>
    <x v="46"/>
  </r>
  <r>
    <x v="3"/>
    <x v="2"/>
    <x v="1"/>
    <n v="739"/>
    <n v="0"/>
    <x v="47"/>
  </r>
  <r>
    <x v="4"/>
    <x v="2"/>
    <x v="1"/>
    <n v="747"/>
    <n v="0"/>
    <x v="48"/>
  </r>
  <r>
    <x v="5"/>
    <x v="2"/>
    <x v="1"/>
    <n v="750"/>
    <n v="0"/>
    <x v="49"/>
  </r>
  <r>
    <x v="6"/>
    <x v="2"/>
    <x v="1"/>
    <n v="752"/>
    <n v="0"/>
    <x v="50"/>
  </r>
  <r>
    <x v="7"/>
    <x v="2"/>
    <x v="1"/>
    <n v="753"/>
    <n v="0"/>
    <x v="51"/>
  </r>
  <r>
    <x v="8"/>
    <x v="2"/>
    <x v="1"/>
    <n v="756"/>
    <n v="0"/>
    <x v="52"/>
  </r>
  <r>
    <x v="9"/>
    <x v="2"/>
    <x v="1"/>
    <n v="790"/>
    <n v="0"/>
    <x v="53"/>
  </r>
  <r>
    <x v="10"/>
    <x v="2"/>
    <x v="1"/>
    <n v="796"/>
    <n v="0"/>
    <x v="54"/>
  </r>
  <r>
    <x v="11"/>
    <x v="2"/>
    <x v="1"/>
    <n v="800"/>
    <n v="0"/>
    <x v="55"/>
  </r>
  <r>
    <x v="12"/>
    <x v="2"/>
    <x v="1"/>
    <n v="815"/>
    <n v="0"/>
    <x v="56"/>
  </r>
  <r>
    <x v="13"/>
    <x v="2"/>
    <x v="1"/>
    <n v="829"/>
    <n v="0"/>
    <x v="57"/>
  </r>
  <r>
    <x v="14"/>
    <x v="2"/>
    <x v="1"/>
    <n v="843"/>
    <n v="0"/>
    <x v="58"/>
  </r>
  <r>
    <x v="15"/>
    <x v="2"/>
    <x v="1"/>
    <n v="861"/>
    <n v="0"/>
    <x v="59"/>
  </r>
  <r>
    <x v="16"/>
    <x v="2"/>
    <x v="1"/>
    <n v="872"/>
    <n v="0"/>
    <x v="60"/>
  </r>
  <r>
    <x v="17"/>
    <x v="2"/>
    <x v="1"/>
    <n v="882"/>
    <n v="0"/>
    <x v="61"/>
  </r>
  <r>
    <x v="18"/>
    <x v="2"/>
    <x v="1"/>
    <n v="920"/>
    <n v="0"/>
    <x v="62"/>
  </r>
  <r>
    <x v="19"/>
    <x v="2"/>
    <x v="1"/>
    <n v="954"/>
    <n v="0"/>
    <x v="63"/>
  </r>
  <r>
    <x v="20"/>
    <x v="2"/>
    <x v="1"/>
    <n v="982"/>
    <n v="0"/>
    <x v="64"/>
  </r>
  <r>
    <x v="21"/>
    <x v="2"/>
    <x v="1"/>
    <n v="1006"/>
    <n v="0"/>
    <x v="65"/>
  </r>
  <r>
    <x v="22"/>
    <x v="2"/>
    <x v="1"/>
    <n v="1092"/>
    <n v="0"/>
    <x v="66"/>
  </r>
  <r>
    <x v="0"/>
    <x v="3"/>
    <x v="2"/>
    <n v="2664"/>
    <n v="3.8246996996996998"/>
    <x v="67"/>
  </r>
  <r>
    <x v="1"/>
    <x v="3"/>
    <x v="2"/>
    <n v="2869"/>
    <n v="0"/>
    <x v="68"/>
  </r>
  <r>
    <x v="2"/>
    <x v="3"/>
    <x v="2"/>
    <n v="3180"/>
    <n v="0"/>
    <x v="69"/>
  </r>
  <r>
    <x v="3"/>
    <x v="3"/>
    <x v="2"/>
    <n v="4743"/>
    <n v="0"/>
    <x v="70"/>
  </r>
  <r>
    <x v="4"/>
    <x v="3"/>
    <x v="2"/>
    <n v="5060"/>
    <n v="0"/>
    <x v="71"/>
  </r>
  <r>
    <x v="5"/>
    <x v="3"/>
    <x v="2"/>
    <n v="5451"/>
    <n v="0"/>
    <x v="72"/>
  </r>
  <r>
    <x v="6"/>
    <x v="3"/>
    <x v="2"/>
    <n v="5783"/>
    <n v="0"/>
    <x v="73"/>
  </r>
  <r>
    <x v="7"/>
    <x v="3"/>
    <x v="2"/>
    <n v="5934"/>
    <n v="0"/>
    <x v="74"/>
  </r>
  <r>
    <x v="8"/>
    <x v="3"/>
    <x v="2"/>
    <n v="6124"/>
    <n v="0"/>
    <x v="75"/>
  </r>
  <r>
    <x v="9"/>
    <x v="3"/>
    <x v="2"/>
    <n v="6517"/>
    <n v="0"/>
    <x v="76"/>
  </r>
  <r>
    <x v="10"/>
    <x v="3"/>
    <x v="2"/>
    <n v="6643"/>
    <n v="0"/>
    <x v="77"/>
  </r>
  <r>
    <x v="11"/>
    <x v="3"/>
    <x v="2"/>
    <n v="6845"/>
    <n v="0"/>
    <x v="78"/>
  </r>
  <r>
    <x v="12"/>
    <x v="3"/>
    <x v="2"/>
    <n v="7197"/>
    <n v="0"/>
    <x v="79"/>
  </r>
  <r>
    <x v="13"/>
    <x v="3"/>
    <x v="2"/>
    <n v="7775"/>
    <n v="0"/>
    <x v="80"/>
  </r>
  <r>
    <x v="14"/>
    <x v="3"/>
    <x v="2"/>
    <n v="8288"/>
    <n v="0"/>
    <x v="81"/>
  </r>
  <r>
    <x v="15"/>
    <x v="3"/>
    <x v="2"/>
    <n v="8711"/>
    <n v="0"/>
    <x v="82"/>
  </r>
  <r>
    <x v="16"/>
    <x v="3"/>
    <x v="2"/>
    <n v="9242"/>
    <n v="0"/>
    <x v="83"/>
  </r>
  <r>
    <x v="17"/>
    <x v="3"/>
    <x v="2"/>
    <n v="9818"/>
    <n v="0"/>
    <x v="84"/>
  </r>
  <r>
    <x v="18"/>
    <x v="3"/>
    <x v="2"/>
    <n v="10480"/>
    <n v="0"/>
    <x v="85"/>
  </r>
  <r>
    <x v="19"/>
    <x v="3"/>
    <x v="2"/>
    <n v="11502"/>
    <n v="0"/>
    <x v="86"/>
  </r>
  <r>
    <x v="20"/>
    <x v="3"/>
    <x v="2"/>
    <n v="12253"/>
    <n v="0"/>
    <x v="87"/>
  </r>
  <r>
    <x v="21"/>
    <x v="3"/>
    <x v="2"/>
    <n v="12503"/>
    <n v="0"/>
    <x v="88"/>
  </r>
  <r>
    <x v="22"/>
    <x v="3"/>
    <x v="2"/>
    <n v="12853"/>
    <n v="0"/>
    <x v="89"/>
  </r>
  <r>
    <x v="0"/>
    <x v="4"/>
    <x v="3"/>
    <n v="795"/>
    <n v="1.6716981132075472"/>
    <x v="90"/>
  </r>
  <r>
    <x v="1"/>
    <x v="4"/>
    <x v="3"/>
    <n v="804"/>
    <n v="0"/>
    <x v="91"/>
  </r>
  <r>
    <x v="2"/>
    <x v="4"/>
    <x v="3"/>
    <n v="812"/>
    <n v="0"/>
    <x v="92"/>
  </r>
  <r>
    <x v="3"/>
    <x v="4"/>
    <x v="3"/>
    <n v="831"/>
    <n v="0"/>
    <x v="93"/>
  </r>
  <r>
    <x v="4"/>
    <x v="4"/>
    <x v="3"/>
    <n v="839"/>
    <n v="0"/>
    <x v="94"/>
  </r>
  <r>
    <x v="5"/>
    <x v="4"/>
    <x v="3"/>
    <n v="849"/>
    <n v="0"/>
    <x v="95"/>
  </r>
  <r>
    <x v="6"/>
    <x v="4"/>
    <x v="3"/>
    <n v="866"/>
    <n v="0"/>
    <x v="96"/>
  </r>
  <r>
    <x v="7"/>
    <x v="4"/>
    <x v="3"/>
    <n v="908"/>
    <n v="0"/>
    <x v="97"/>
  </r>
  <r>
    <x v="8"/>
    <x v="4"/>
    <x v="3"/>
    <n v="956"/>
    <n v="0"/>
    <x v="98"/>
  </r>
  <r>
    <x v="9"/>
    <x v="4"/>
    <x v="3"/>
    <n v="1029"/>
    <n v="0"/>
    <x v="99"/>
  </r>
  <r>
    <x v="10"/>
    <x v="4"/>
    <x v="3"/>
    <n v="1119"/>
    <n v="0"/>
    <x v="100"/>
  </r>
  <r>
    <x v="11"/>
    <x v="4"/>
    <x v="3"/>
    <n v="1164"/>
    <n v="0"/>
    <x v="101"/>
  </r>
  <r>
    <x v="12"/>
    <x v="4"/>
    <x v="3"/>
    <n v="1209"/>
    <n v="0"/>
    <x v="102"/>
  </r>
  <r>
    <x v="13"/>
    <x v="4"/>
    <x v="3"/>
    <n v="1232"/>
    <n v="0"/>
    <x v="103"/>
  </r>
  <r>
    <x v="14"/>
    <x v="4"/>
    <x v="3"/>
    <n v="1277"/>
    <n v="0"/>
    <x v="104"/>
  </r>
  <r>
    <x v="15"/>
    <x v="4"/>
    <x v="3"/>
    <n v="1374"/>
    <n v="0"/>
    <x v="105"/>
  </r>
  <r>
    <x v="16"/>
    <x v="4"/>
    <x v="3"/>
    <n v="1469"/>
    <n v="0"/>
    <x v="106"/>
  </r>
  <r>
    <x v="17"/>
    <x v="4"/>
    <x v="3"/>
    <n v="1567"/>
    <n v="0"/>
    <x v="107"/>
  </r>
  <r>
    <x v="18"/>
    <x v="4"/>
    <x v="3"/>
    <n v="1676"/>
    <n v="0"/>
    <x v="108"/>
  </r>
  <r>
    <x v="19"/>
    <x v="4"/>
    <x v="3"/>
    <n v="1747"/>
    <n v="0"/>
    <x v="109"/>
  </r>
  <r>
    <x v="20"/>
    <x v="4"/>
    <x v="3"/>
    <n v="1848"/>
    <n v="0"/>
    <x v="110"/>
  </r>
  <r>
    <x v="21"/>
    <x v="4"/>
    <x v="3"/>
    <n v="1956"/>
    <n v="0"/>
    <x v="111"/>
  </r>
  <r>
    <x v="22"/>
    <x v="4"/>
    <x v="3"/>
    <n v="2124"/>
    <n v="0"/>
    <x v="112"/>
  </r>
  <r>
    <x v="0"/>
    <x v="5"/>
    <x v="4"/>
    <n v="45"/>
    <n v="0.42222222222222222"/>
    <x v="113"/>
  </r>
  <r>
    <x v="1"/>
    <x v="5"/>
    <x v="4"/>
    <n v="46"/>
    <n v="0"/>
    <x v="114"/>
  </r>
  <r>
    <x v="2"/>
    <x v="5"/>
    <x v="4"/>
    <n v="48"/>
    <n v="0"/>
    <x v="115"/>
  </r>
  <r>
    <x v="3"/>
    <x v="5"/>
    <x v="4"/>
    <n v="57"/>
    <n v="0"/>
    <x v="116"/>
  </r>
  <r>
    <x v="4"/>
    <x v="5"/>
    <x v="4"/>
    <n v="56"/>
    <n v="0"/>
    <x v="42"/>
  </r>
  <r>
    <x v="5"/>
    <x v="5"/>
    <x v="4"/>
    <n v="57"/>
    <n v="0"/>
    <x v="117"/>
  </r>
  <r>
    <x v="6"/>
    <x v="5"/>
    <x v="4"/>
    <n v="58"/>
    <n v="0"/>
    <x v="118"/>
  </r>
  <r>
    <x v="7"/>
    <x v="5"/>
    <x v="4"/>
    <n v="59"/>
    <n v="0"/>
    <x v="119"/>
  </r>
  <r>
    <x v="8"/>
    <x v="5"/>
    <x v="4"/>
    <n v="59"/>
    <n v="0"/>
    <x v="120"/>
  </r>
  <r>
    <x v="9"/>
    <x v="5"/>
    <x v="4"/>
    <n v="60"/>
    <n v="0"/>
    <x v="121"/>
  </r>
  <r>
    <x v="10"/>
    <x v="5"/>
    <x v="4"/>
    <n v="60"/>
    <n v="0"/>
    <x v="122"/>
  </r>
  <r>
    <x v="11"/>
    <x v="5"/>
    <x v="4"/>
    <n v="61"/>
    <n v="0"/>
    <x v="123"/>
  </r>
  <r>
    <x v="12"/>
    <x v="5"/>
    <x v="4"/>
    <n v="68"/>
    <n v="0"/>
    <x v="124"/>
  </r>
  <r>
    <x v="13"/>
    <x v="5"/>
    <x v="4"/>
    <n v="67"/>
    <n v="0"/>
    <x v="125"/>
  </r>
  <r>
    <x v="14"/>
    <x v="5"/>
    <x v="4"/>
    <n v="54"/>
    <n v="0"/>
    <x v="126"/>
  </r>
  <r>
    <x v="15"/>
    <x v="5"/>
    <x v="4"/>
    <n v="51"/>
    <n v="0"/>
    <x v="127"/>
  </r>
  <r>
    <x v="16"/>
    <x v="5"/>
    <x v="4"/>
    <n v="55"/>
    <n v="0"/>
    <x v="128"/>
  </r>
  <r>
    <x v="17"/>
    <x v="5"/>
    <x v="4"/>
    <n v="57"/>
    <n v="0"/>
    <x v="129"/>
  </r>
  <r>
    <x v="18"/>
    <x v="5"/>
    <x v="4"/>
    <n v="61"/>
    <n v="0"/>
    <x v="130"/>
  </r>
  <r>
    <x v="19"/>
    <x v="5"/>
    <x v="4"/>
    <n v="60"/>
    <n v="0"/>
    <x v="129"/>
  </r>
  <r>
    <x v="20"/>
    <x v="5"/>
    <x v="4"/>
    <n v="63"/>
    <n v="0"/>
    <x v="122"/>
  </r>
  <r>
    <x v="21"/>
    <x v="5"/>
    <x v="4"/>
    <n v="64"/>
    <n v="0"/>
    <x v="131"/>
  </r>
  <r>
    <x v="22"/>
    <x v="5"/>
    <x v="4"/>
    <n v="64"/>
    <n v="0"/>
    <x v="132"/>
  </r>
  <r>
    <x v="0"/>
    <x v="6"/>
    <x v="4"/>
    <n v="5862"/>
    <n v="2.1238485158648923"/>
    <x v="133"/>
  </r>
  <r>
    <x v="1"/>
    <x v="6"/>
    <x v="4"/>
    <n v="6089"/>
    <n v="0"/>
    <x v="134"/>
  </r>
  <r>
    <x v="2"/>
    <x v="6"/>
    <x v="4"/>
    <n v="6421"/>
    <n v="0"/>
    <x v="135"/>
  </r>
  <r>
    <x v="3"/>
    <x v="6"/>
    <x v="4"/>
    <n v="6745"/>
    <n v="0"/>
    <x v="136"/>
  </r>
  <r>
    <x v="4"/>
    <x v="6"/>
    <x v="4"/>
    <n v="6960"/>
    <n v="0"/>
    <x v="137"/>
  </r>
  <r>
    <x v="5"/>
    <x v="6"/>
    <x v="4"/>
    <n v="7533"/>
    <n v="0"/>
    <x v="138"/>
  </r>
  <r>
    <x v="6"/>
    <x v="6"/>
    <x v="4"/>
    <n v="7911"/>
    <n v="0"/>
    <x v="139"/>
  </r>
  <r>
    <x v="7"/>
    <x v="6"/>
    <x v="4"/>
    <n v="8386"/>
    <n v="0"/>
    <x v="140"/>
  </r>
  <r>
    <x v="8"/>
    <x v="6"/>
    <x v="4"/>
    <n v="8844"/>
    <n v="0"/>
    <x v="141"/>
  </r>
  <r>
    <x v="9"/>
    <x v="6"/>
    <x v="4"/>
    <n v="9321"/>
    <n v="0"/>
    <x v="142"/>
  </r>
  <r>
    <x v="10"/>
    <x v="6"/>
    <x v="4"/>
    <n v="9817"/>
    <n v="0"/>
    <x v="143"/>
  </r>
  <r>
    <x v="11"/>
    <x v="6"/>
    <x v="4"/>
    <n v="10315"/>
    <n v="0"/>
    <x v="144"/>
  </r>
  <r>
    <x v="12"/>
    <x v="6"/>
    <x v="4"/>
    <n v="11112"/>
    <n v="0"/>
    <x v="145"/>
  </r>
  <r>
    <x v="13"/>
    <x v="6"/>
    <x v="4"/>
    <n v="11691"/>
    <n v="0"/>
    <x v="146"/>
  </r>
  <r>
    <x v="14"/>
    <x v="6"/>
    <x v="4"/>
    <n v="12262"/>
    <n v="0"/>
    <x v="147"/>
  </r>
  <r>
    <x v="15"/>
    <x v="6"/>
    <x v="4"/>
    <n v="12784"/>
    <n v="0"/>
    <x v="148"/>
  </r>
  <r>
    <x v="16"/>
    <x v="6"/>
    <x v="4"/>
    <n v="13569"/>
    <n v="0"/>
    <x v="149"/>
  </r>
  <r>
    <x v="17"/>
    <x v="6"/>
    <x v="4"/>
    <n v="14493"/>
    <n v="0"/>
    <x v="150"/>
  </r>
  <r>
    <x v="18"/>
    <x v="6"/>
    <x v="4"/>
    <n v="15292"/>
    <n v="0"/>
    <x v="151"/>
  </r>
  <r>
    <x v="19"/>
    <x v="6"/>
    <x v="4"/>
    <n v="15853"/>
    <n v="0"/>
    <x v="152"/>
  </r>
  <r>
    <x v="20"/>
    <x v="6"/>
    <x v="4"/>
    <n v="16722"/>
    <n v="0"/>
    <x v="153"/>
  </r>
  <r>
    <x v="21"/>
    <x v="6"/>
    <x v="4"/>
    <n v="17281"/>
    <n v="0"/>
    <x v="154"/>
  </r>
  <r>
    <x v="22"/>
    <x v="6"/>
    <x v="4"/>
    <n v="18312"/>
    <n v="0"/>
    <x v="155"/>
  </r>
  <r>
    <x v="0"/>
    <x v="7"/>
    <x v="5"/>
    <n v="4978"/>
    <n v="1.454801124949779"/>
    <x v="156"/>
  </r>
  <r>
    <x v="1"/>
    <x v="7"/>
    <x v="5"/>
    <n v="5124"/>
    <n v="0"/>
    <x v="157"/>
  </r>
  <r>
    <x v="2"/>
    <x v="7"/>
    <x v="5"/>
    <n v="5221"/>
    <n v="0"/>
    <x v="158"/>
  </r>
  <r>
    <x v="3"/>
    <x v="7"/>
    <x v="5"/>
    <n v="5222"/>
    <n v="0"/>
    <x v="159"/>
  </r>
  <r>
    <x v="4"/>
    <x v="7"/>
    <x v="5"/>
    <n v="5299"/>
    <n v="0"/>
    <x v="160"/>
  </r>
  <r>
    <x v="5"/>
    <x v="7"/>
    <x v="5"/>
    <n v="5366"/>
    <n v="0"/>
    <x v="161"/>
  </r>
  <r>
    <x v="6"/>
    <x v="7"/>
    <x v="5"/>
    <n v="5442"/>
    <n v="0"/>
    <x v="162"/>
  </r>
  <r>
    <x v="7"/>
    <x v="7"/>
    <x v="5"/>
    <n v="5745"/>
    <n v="0"/>
    <x v="163"/>
  </r>
  <r>
    <x v="8"/>
    <x v="7"/>
    <x v="5"/>
    <n v="6006"/>
    <n v="0"/>
    <x v="164"/>
  </r>
  <r>
    <x v="9"/>
    <x v="7"/>
    <x v="5"/>
    <n v="6267"/>
    <n v="0"/>
    <x v="165"/>
  </r>
  <r>
    <x v="10"/>
    <x v="7"/>
    <x v="5"/>
    <n v="6661"/>
    <n v="0"/>
    <x v="166"/>
  </r>
  <r>
    <x v="11"/>
    <x v="7"/>
    <x v="5"/>
    <n v="7040"/>
    <n v="0"/>
    <x v="167"/>
  </r>
  <r>
    <x v="12"/>
    <x v="7"/>
    <x v="5"/>
    <n v="7442"/>
    <n v="0"/>
    <x v="168"/>
  </r>
  <r>
    <x v="13"/>
    <x v="7"/>
    <x v="5"/>
    <n v="7901"/>
    <n v="0"/>
    <x v="169"/>
  </r>
  <r>
    <x v="14"/>
    <x v="7"/>
    <x v="5"/>
    <n v="8381"/>
    <n v="0"/>
    <x v="170"/>
  </r>
  <r>
    <x v="15"/>
    <x v="7"/>
    <x v="5"/>
    <n v="8975"/>
    <n v="0"/>
    <x v="171"/>
  </r>
  <r>
    <x v="16"/>
    <x v="7"/>
    <x v="5"/>
    <n v="9809"/>
    <n v="0"/>
    <x v="172"/>
  </r>
  <r>
    <x v="17"/>
    <x v="7"/>
    <x v="5"/>
    <n v="10726"/>
    <n v="0"/>
    <x v="173"/>
  </r>
  <r>
    <x v="18"/>
    <x v="7"/>
    <x v="5"/>
    <n v="11735"/>
    <n v="0"/>
    <x v="174"/>
  </r>
  <r>
    <x v="19"/>
    <x v="7"/>
    <x v="5"/>
    <n v="11284"/>
    <n v="0"/>
    <x v="175"/>
  </r>
  <r>
    <x v="20"/>
    <x v="7"/>
    <x v="5"/>
    <n v="11630"/>
    <n v="0"/>
    <x v="176"/>
  </r>
  <r>
    <x v="21"/>
    <x v="7"/>
    <x v="5"/>
    <n v="11966"/>
    <n v="0"/>
    <x v="177"/>
  </r>
  <r>
    <x v="22"/>
    <x v="7"/>
    <x v="5"/>
    <n v="12220"/>
    <n v="0"/>
    <x v="178"/>
  </r>
  <r>
    <x v="0"/>
    <x v="8"/>
    <x v="5"/>
    <n v="756"/>
    <n v="1.3134920634920635"/>
    <x v="179"/>
  </r>
  <r>
    <x v="1"/>
    <x v="8"/>
    <x v="5"/>
    <n v="773"/>
    <n v="0"/>
    <x v="180"/>
  </r>
  <r>
    <x v="2"/>
    <x v="8"/>
    <x v="5"/>
    <n v="786"/>
    <n v="0"/>
    <x v="181"/>
  </r>
  <r>
    <x v="3"/>
    <x v="8"/>
    <x v="5"/>
    <n v="870"/>
    <n v="0"/>
    <x v="182"/>
  </r>
  <r>
    <x v="4"/>
    <x v="8"/>
    <x v="5"/>
    <n v="869"/>
    <n v="0"/>
    <x v="183"/>
  </r>
  <r>
    <x v="5"/>
    <x v="8"/>
    <x v="5"/>
    <n v="933"/>
    <n v="0"/>
    <x v="184"/>
  </r>
  <r>
    <x v="6"/>
    <x v="8"/>
    <x v="5"/>
    <n v="1007"/>
    <n v="0"/>
    <x v="185"/>
  </r>
  <r>
    <x v="7"/>
    <x v="8"/>
    <x v="5"/>
    <n v="1026"/>
    <n v="0"/>
    <x v="186"/>
  </r>
  <r>
    <x v="8"/>
    <x v="8"/>
    <x v="5"/>
    <n v="971"/>
    <n v="0"/>
    <x v="187"/>
  </r>
  <r>
    <x v="9"/>
    <x v="8"/>
    <x v="5"/>
    <n v="1102"/>
    <n v="0"/>
    <x v="188"/>
  </r>
  <r>
    <x v="10"/>
    <x v="8"/>
    <x v="5"/>
    <n v="1120"/>
    <n v="0"/>
    <x v="189"/>
  </r>
  <r>
    <x v="11"/>
    <x v="8"/>
    <x v="5"/>
    <n v="1139"/>
    <n v="0"/>
    <x v="190"/>
  </r>
  <r>
    <x v="12"/>
    <x v="8"/>
    <x v="5"/>
    <n v="1151"/>
    <n v="0"/>
    <x v="191"/>
  </r>
  <r>
    <x v="13"/>
    <x v="8"/>
    <x v="5"/>
    <n v="1172"/>
    <n v="0"/>
    <x v="192"/>
  </r>
  <r>
    <x v="14"/>
    <x v="8"/>
    <x v="5"/>
    <n v="1283"/>
    <n v="0"/>
    <x v="193"/>
  </r>
  <r>
    <x v="15"/>
    <x v="8"/>
    <x v="5"/>
    <n v="1329"/>
    <n v="0"/>
    <x v="194"/>
  </r>
  <r>
    <x v="16"/>
    <x v="8"/>
    <x v="5"/>
    <n v="1392"/>
    <n v="0"/>
    <x v="195"/>
  </r>
  <r>
    <x v="17"/>
    <x v="8"/>
    <x v="5"/>
    <n v="1460"/>
    <n v="0"/>
    <x v="196"/>
  </r>
  <r>
    <x v="18"/>
    <x v="8"/>
    <x v="5"/>
    <n v="1531"/>
    <n v="0"/>
    <x v="197"/>
  </r>
  <r>
    <x v="19"/>
    <x v="8"/>
    <x v="5"/>
    <n v="1576"/>
    <n v="0"/>
    <x v="198"/>
  </r>
  <r>
    <x v="20"/>
    <x v="8"/>
    <x v="5"/>
    <n v="1615"/>
    <n v="0"/>
    <x v="199"/>
  </r>
  <r>
    <x v="21"/>
    <x v="8"/>
    <x v="5"/>
    <n v="1617"/>
    <n v="0"/>
    <x v="200"/>
  </r>
  <r>
    <x v="22"/>
    <x v="8"/>
    <x v="5"/>
    <n v="1749"/>
    <n v="0"/>
    <x v="201"/>
  </r>
  <r>
    <x v="0"/>
    <x v="9"/>
    <x v="5"/>
    <n v="1360"/>
    <n v="1.1139705882352942"/>
    <x v="202"/>
  </r>
  <r>
    <x v="1"/>
    <x v="9"/>
    <x v="5"/>
    <n v="1389"/>
    <n v="0"/>
    <x v="203"/>
  </r>
  <r>
    <x v="2"/>
    <x v="9"/>
    <x v="5"/>
    <n v="1414"/>
    <n v="0"/>
    <x v="204"/>
  </r>
  <r>
    <x v="3"/>
    <x v="9"/>
    <x v="5"/>
    <n v="1422"/>
    <n v="0"/>
    <x v="205"/>
  </r>
  <r>
    <x v="4"/>
    <x v="9"/>
    <x v="5"/>
    <n v="1400"/>
    <n v="0"/>
    <x v="206"/>
  </r>
  <r>
    <x v="5"/>
    <x v="9"/>
    <x v="5"/>
    <n v="1400"/>
    <n v="0"/>
    <x v="207"/>
  </r>
  <r>
    <x v="6"/>
    <x v="9"/>
    <x v="5"/>
    <n v="1519"/>
    <n v="0"/>
    <x v="208"/>
  </r>
  <r>
    <x v="7"/>
    <x v="9"/>
    <x v="5"/>
    <n v="1565"/>
    <n v="0"/>
    <x v="209"/>
  </r>
  <r>
    <x v="8"/>
    <x v="9"/>
    <x v="5"/>
    <n v="1592"/>
    <n v="0"/>
    <x v="210"/>
  </r>
  <r>
    <x v="9"/>
    <x v="9"/>
    <x v="5"/>
    <n v="1609"/>
    <n v="0"/>
    <x v="211"/>
  </r>
  <r>
    <x v="10"/>
    <x v="9"/>
    <x v="5"/>
    <n v="1614"/>
    <n v="0"/>
    <x v="212"/>
  </r>
  <r>
    <x v="11"/>
    <x v="9"/>
    <x v="5"/>
    <n v="1631"/>
    <n v="0"/>
    <x v="213"/>
  </r>
  <r>
    <x v="12"/>
    <x v="9"/>
    <x v="5"/>
    <n v="1615"/>
    <n v="0"/>
    <x v="214"/>
  </r>
  <r>
    <x v="13"/>
    <x v="9"/>
    <x v="5"/>
    <n v="1951"/>
    <n v="0"/>
    <x v="215"/>
  </r>
  <r>
    <x v="14"/>
    <x v="9"/>
    <x v="5"/>
    <n v="2273"/>
    <n v="0"/>
    <x v="216"/>
  </r>
  <r>
    <x v="15"/>
    <x v="9"/>
    <x v="5"/>
    <n v="2376"/>
    <n v="0"/>
    <x v="217"/>
  </r>
  <r>
    <x v="16"/>
    <x v="9"/>
    <x v="5"/>
    <n v="2460"/>
    <n v="0"/>
    <x v="218"/>
  </r>
  <r>
    <x v="17"/>
    <x v="9"/>
    <x v="5"/>
    <n v="2540"/>
    <n v="0"/>
    <x v="219"/>
  </r>
  <r>
    <x v="18"/>
    <x v="9"/>
    <x v="5"/>
    <n v="2506"/>
    <n v="0"/>
    <x v="220"/>
  </r>
  <r>
    <x v="19"/>
    <x v="9"/>
    <x v="5"/>
    <n v="2595"/>
    <n v="0"/>
    <x v="221"/>
  </r>
  <r>
    <x v="20"/>
    <x v="9"/>
    <x v="5"/>
    <n v="2727"/>
    <n v="0"/>
    <x v="222"/>
  </r>
  <r>
    <x v="21"/>
    <x v="9"/>
    <x v="5"/>
    <n v="2817"/>
    <n v="0"/>
    <x v="223"/>
  </r>
  <r>
    <x v="22"/>
    <x v="9"/>
    <x v="5"/>
    <n v="2875"/>
    <n v="0"/>
    <x v="224"/>
  </r>
  <r>
    <x v="0"/>
    <x v="10"/>
    <x v="2"/>
    <n v="940"/>
    <n v="2.2180851063829787"/>
    <x v="225"/>
  </r>
  <r>
    <x v="1"/>
    <x v="10"/>
    <x v="2"/>
    <n v="952"/>
    <n v="0"/>
    <x v="226"/>
  </r>
  <r>
    <x v="2"/>
    <x v="10"/>
    <x v="2"/>
    <n v="954"/>
    <n v="0"/>
    <x v="227"/>
  </r>
  <r>
    <x v="3"/>
    <x v="10"/>
    <x v="2"/>
    <n v="1330"/>
    <n v="0"/>
    <x v="228"/>
  </r>
  <r>
    <x v="4"/>
    <x v="10"/>
    <x v="2"/>
    <n v="1335"/>
    <n v="0"/>
    <x v="229"/>
  </r>
  <r>
    <x v="5"/>
    <x v="10"/>
    <x v="2"/>
    <n v="1401"/>
    <n v="0"/>
    <x v="230"/>
  </r>
  <r>
    <x v="6"/>
    <x v="10"/>
    <x v="2"/>
    <n v="1442"/>
    <n v="0"/>
    <x v="231"/>
  </r>
  <r>
    <x v="7"/>
    <x v="10"/>
    <x v="2"/>
    <n v="1466"/>
    <n v="0"/>
    <x v="232"/>
  </r>
  <r>
    <x v="8"/>
    <x v="10"/>
    <x v="2"/>
    <n v="1463"/>
    <n v="0"/>
    <x v="233"/>
  </r>
  <r>
    <x v="9"/>
    <x v="10"/>
    <x v="2"/>
    <n v="1555"/>
    <n v="0"/>
    <x v="234"/>
  </r>
  <r>
    <x v="10"/>
    <x v="10"/>
    <x v="2"/>
    <n v="1745"/>
    <n v="0"/>
    <x v="235"/>
  </r>
  <r>
    <x v="11"/>
    <x v="10"/>
    <x v="2"/>
    <n v="1679"/>
    <n v="0"/>
    <x v="236"/>
  </r>
  <r>
    <x v="12"/>
    <x v="10"/>
    <x v="2"/>
    <n v="1700"/>
    <n v="0"/>
    <x v="237"/>
  </r>
  <r>
    <x v="13"/>
    <x v="10"/>
    <x v="2"/>
    <n v="1734"/>
    <n v="0"/>
    <x v="238"/>
  </r>
  <r>
    <x v="14"/>
    <x v="10"/>
    <x v="2"/>
    <n v="1812"/>
    <n v="0"/>
    <x v="239"/>
  </r>
  <r>
    <x v="15"/>
    <x v="10"/>
    <x v="2"/>
    <n v="1894"/>
    <n v="0"/>
    <x v="240"/>
  </r>
  <r>
    <x v="16"/>
    <x v="10"/>
    <x v="2"/>
    <n v="2016"/>
    <n v="0"/>
    <x v="241"/>
  </r>
  <r>
    <x v="17"/>
    <x v="10"/>
    <x v="2"/>
    <n v="2183"/>
    <n v="0"/>
    <x v="242"/>
  </r>
  <r>
    <x v="18"/>
    <x v="10"/>
    <x v="2"/>
    <n v="2321"/>
    <n v="0"/>
    <x v="243"/>
  </r>
  <r>
    <x v="19"/>
    <x v="10"/>
    <x v="2"/>
    <n v="2434"/>
    <n v="0"/>
    <x v="244"/>
  </r>
  <r>
    <x v="20"/>
    <x v="10"/>
    <x v="2"/>
    <n v="2629"/>
    <n v="0"/>
    <x v="245"/>
  </r>
  <r>
    <x v="21"/>
    <x v="10"/>
    <x v="2"/>
    <n v="2774"/>
    <n v="0"/>
    <x v="246"/>
  </r>
  <r>
    <x v="22"/>
    <x v="10"/>
    <x v="2"/>
    <n v="3025"/>
    <n v="0"/>
    <x v="247"/>
  </r>
  <r>
    <x v="0"/>
    <x v="11"/>
    <x v="0"/>
    <n v="4797"/>
    <n v="1.8065457577652699"/>
    <x v="248"/>
  </r>
  <r>
    <x v="1"/>
    <x v="11"/>
    <x v="0"/>
    <n v="4539"/>
    <n v="0"/>
    <x v="249"/>
  </r>
  <r>
    <x v="2"/>
    <x v="11"/>
    <x v="0"/>
    <n v="3857"/>
    <n v="0"/>
    <x v="250"/>
  </r>
  <r>
    <x v="3"/>
    <x v="11"/>
    <x v="0"/>
    <n v="3917"/>
    <n v="0"/>
    <x v="251"/>
  </r>
  <r>
    <x v="4"/>
    <x v="11"/>
    <x v="0"/>
    <n v="4022"/>
    <n v="0"/>
    <x v="252"/>
  </r>
  <r>
    <x v="5"/>
    <x v="11"/>
    <x v="0"/>
    <n v="4124"/>
    <n v="0"/>
    <x v="253"/>
  </r>
  <r>
    <x v="6"/>
    <x v="11"/>
    <x v="0"/>
    <n v="4244"/>
    <n v="0"/>
    <x v="254"/>
  </r>
  <r>
    <x v="7"/>
    <x v="11"/>
    <x v="0"/>
    <n v="4538"/>
    <n v="0"/>
    <x v="255"/>
  </r>
  <r>
    <x v="8"/>
    <x v="11"/>
    <x v="0"/>
    <n v="4822"/>
    <n v="0"/>
    <x v="256"/>
  </r>
  <r>
    <x v="9"/>
    <x v="11"/>
    <x v="0"/>
    <n v="5114"/>
    <n v="0"/>
    <x v="257"/>
  </r>
  <r>
    <x v="10"/>
    <x v="11"/>
    <x v="0"/>
    <n v="5447"/>
    <n v="0"/>
    <x v="258"/>
  </r>
  <r>
    <x v="11"/>
    <x v="11"/>
    <x v="0"/>
    <n v="5718"/>
    <n v="0"/>
    <x v="259"/>
  </r>
  <r>
    <x v="12"/>
    <x v="11"/>
    <x v="0"/>
    <n v="5997"/>
    <n v="0"/>
    <x v="260"/>
  </r>
  <r>
    <x v="13"/>
    <x v="11"/>
    <x v="0"/>
    <n v="6121"/>
    <n v="0"/>
    <x v="261"/>
  </r>
  <r>
    <x v="14"/>
    <x v="11"/>
    <x v="0"/>
    <n v="6344"/>
    <n v="0"/>
    <x v="262"/>
  </r>
  <r>
    <x v="15"/>
    <x v="11"/>
    <x v="0"/>
    <n v="6562"/>
    <n v="0"/>
    <x v="263"/>
  </r>
  <r>
    <x v="16"/>
    <x v="11"/>
    <x v="0"/>
    <n v="7137"/>
    <n v="0"/>
    <x v="264"/>
  </r>
  <r>
    <x v="17"/>
    <x v="11"/>
    <x v="0"/>
    <n v="7901"/>
    <n v="0"/>
    <x v="265"/>
  </r>
  <r>
    <x v="18"/>
    <x v="11"/>
    <x v="0"/>
    <n v="9031"/>
    <n v="0"/>
    <x v="266"/>
  </r>
  <r>
    <x v="19"/>
    <x v="11"/>
    <x v="0"/>
    <n v="10936"/>
    <n v="0"/>
    <x v="267"/>
  </r>
  <r>
    <x v="20"/>
    <x v="11"/>
    <x v="0"/>
    <n v="11796"/>
    <n v="0"/>
    <x v="268"/>
  </r>
  <r>
    <x v="21"/>
    <x v="11"/>
    <x v="0"/>
    <n v="12829"/>
    <n v="0"/>
    <x v="269"/>
  </r>
  <r>
    <x v="22"/>
    <x v="11"/>
    <x v="0"/>
    <n v="13463"/>
    <n v="0"/>
    <x v="270"/>
  </r>
  <r>
    <x v="0"/>
    <x v="12"/>
    <x v="0"/>
    <n v="2718"/>
    <n v="-5.0772626931567331E-2"/>
    <x v="271"/>
  </r>
  <r>
    <x v="1"/>
    <x v="12"/>
    <x v="0"/>
    <n v="2419"/>
    <n v="0"/>
    <x v="272"/>
  </r>
  <r>
    <x v="2"/>
    <x v="12"/>
    <x v="0"/>
    <n v="2111"/>
    <n v="0"/>
    <x v="273"/>
  </r>
  <r>
    <x v="3"/>
    <x v="12"/>
    <x v="0"/>
    <n v="2025"/>
    <n v="0"/>
    <x v="274"/>
  </r>
  <r>
    <x v="4"/>
    <x v="12"/>
    <x v="0"/>
    <n v="2063"/>
    <n v="0"/>
    <x v="275"/>
  </r>
  <r>
    <x v="5"/>
    <x v="12"/>
    <x v="0"/>
    <n v="2119"/>
    <n v="0"/>
    <x v="276"/>
  </r>
  <r>
    <x v="6"/>
    <x v="12"/>
    <x v="0"/>
    <n v="2253"/>
    <n v="0"/>
    <x v="277"/>
  </r>
  <r>
    <x v="7"/>
    <x v="12"/>
    <x v="0"/>
    <n v="2441"/>
    <n v="0"/>
    <x v="278"/>
  </r>
  <r>
    <x v="8"/>
    <x v="12"/>
    <x v="0"/>
    <n v="2509"/>
    <n v="0"/>
    <x v="279"/>
  </r>
  <r>
    <x v="9"/>
    <x v="12"/>
    <x v="0"/>
    <n v="2645"/>
    <n v="0"/>
    <x v="280"/>
  </r>
  <r>
    <x v="10"/>
    <x v="12"/>
    <x v="0"/>
    <n v="2716"/>
    <n v="0"/>
    <x v="281"/>
  </r>
  <r>
    <x v="11"/>
    <x v="12"/>
    <x v="0"/>
    <n v="2791"/>
    <n v="0"/>
    <x v="282"/>
  </r>
  <r>
    <x v="12"/>
    <x v="12"/>
    <x v="0"/>
    <n v="2655"/>
    <n v="0"/>
    <x v="283"/>
  </r>
  <r>
    <x v="13"/>
    <x v="12"/>
    <x v="0"/>
    <n v="2711"/>
    <n v="0"/>
    <x v="284"/>
  </r>
  <r>
    <x v="14"/>
    <x v="12"/>
    <x v="0"/>
    <n v="2650"/>
    <n v="0"/>
    <x v="285"/>
  </r>
  <r>
    <x v="15"/>
    <x v="12"/>
    <x v="0"/>
    <n v="2520"/>
    <n v="0"/>
    <x v="286"/>
  </r>
  <r>
    <x v="16"/>
    <x v="12"/>
    <x v="0"/>
    <n v="2576"/>
    <n v="0"/>
    <x v="287"/>
  </r>
  <r>
    <x v="17"/>
    <x v="12"/>
    <x v="0"/>
    <n v="2548"/>
    <n v="0"/>
    <x v="288"/>
  </r>
  <r>
    <x v="18"/>
    <x v="12"/>
    <x v="0"/>
    <n v="2544"/>
    <n v="0"/>
    <x v="289"/>
  </r>
  <r>
    <x v="19"/>
    <x v="12"/>
    <x v="0"/>
    <n v="2534"/>
    <n v="0"/>
    <x v="290"/>
  </r>
  <r>
    <x v="20"/>
    <x v="12"/>
    <x v="0"/>
    <n v="2532"/>
    <n v="0"/>
    <x v="291"/>
  </r>
  <r>
    <x v="21"/>
    <x v="12"/>
    <x v="0"/>
    <n v="2580"/>
    <n v="0"/>
    <x v="292"/>
  </r>
  <r>
    <x v="22"/>
    <x v="12"/>
    <x v="0"/>
    <n v="2580"/>
    <n v="0"/>
    <x v="293"/>
  </r>
  <r>
    <x v="0"/>
    <x v="13"/>
    <x v="3"/>
    <n v="5283"/>
    <n v="3.0367215597198562"/>
    <x v="294"/>
  </r>
  <r>
    <x v="1"/>
    <x v="13"/>
    <x v="3"/>
    <n v="5343"/>
    <n v="0"/>
    <x v="295"/>
  </r>
  <r>
    <x v="2"/>
    <x v="13"/>
    <x v="3"/>
    <n v="5388"/>
    <n v="0"/>
    <x v="296"/>
  </r>
  <r>
    <x v="3"/>
    <x v="13"/>
    <x v="3"/>
    <n v="5506"/>
    <n v="0"/>
    <x v="297"/>
  </r>
  <r>
    <x v="4"/>
    <x v="13"/>
    <x v="3"/>
    <n v="6283"/>
    <n v="0"/>
    <x v="298"/>
  </r>
  <r>
    <x v="5"/>
    <x v="13"/>
    <x v="3"/>
    <n v="6374"/>
    <n v="0"/>
    <x v="299"/>
  </r>
  <r>
    <x v="6"/>
    <x v="13"/>
    <x v="3"/>
    <n v="6572"/>
    <n v="0"/>
    <x v="300"/>
  </r>
  <r>
    <x v="7"/>
    <x v="13"/>
    <x v="3"/>
    <n v="6855"/>
    <n v="0"/>
    <x v="301"/>
  </r>
  <r>
    <x v="8"/>
    <x v="13"/>
    <x v="3"/>
    <n v="7167"/>
    <n v="0"/>
    <x v="302"/>
  </r>
  <r>
    <x v="9"/>
    <x v="13"/>
    <x v="3"/>
    <n v="7514"/>
    <n v="0"/>
    <x v="303"/>
  </r>
  <r>
    <x v="10"/>
    <x v="13"/>
    <x v="3"/>
    <n v="8149"/>
    <n v="0"/>
    <x v="304"/>
  </r>
  <r>
    <x v="11"/>
    <x v="13"/>
    <x v="3"/>
    <n v="8838"/>
    <n v="0"/>
    <x v="305"/>
  </r>
  <r>
    <x v="12"/>
    <x v="13"/>
    <x v="3"/>
    <n v="9599"/>
    <n v="0"/>
    <x v="306"/>
  </r>
  <r>
    <x v="13"/>
    <x v="13"/>
    <x v="3"/>
    <n v="10779"/>
    <n v="0"/>
    <x v="307"/>
  </r>
  <r>
    <x v="14"/>
    <x v="13"/>
    <x v="3"/>
    <n v="12148"/>
    <n v="0"/>
    <x v="308"/>
  </r>
  <r>
    <x v="15"/>
    <x v="13"/>
    <x v="3"/>
    <n v="13445"/>
    <n v="0"/>
    <x v="309"/>
  </r>
  <r>
    <x v="16"/>
    <x v="13"/>
    <x v="3"/>
    <n v="14713"/>
    <n v="0"/>
    <x v="310"/>
  </r>
  <r>
    <x v="17"/>
    <x v="13"/>
    <x v="3"/>
    <n v="15911"/>
    <n v="0"/>
    <x v="311"/>
  </r>
  <r>
    <x v="18"/>
    <x v="13"/>
    <x v="3"/>
    <n v="17109"/>
    <n v="0"/>
    <x v="312"/>
  </r>
  <r>
    <x v="19"/>
    <x v="13"/>
    <x v="3"/>
    <n v="17999"/>
    <n v="0"/>
    <x v="313"/>
  </r>
  <r>
    <x v="20"/>
    <x v="13"/>
    <x v="3"/>
    <n v="19004"/>
    <n v="0"/>
    <x v="314"/>
  </r>
  <r>
    <x v="21"/>
    <x v="13"/>
    <x v="3"/>
    <n v="20122"/>
    <n v="0"/>
    <x v="315"/>
  </r>
  <r>
    <x v="22"/>
    <x v="13"/>
    <x v="3"/>
    <n v="21326"/>
    <n v="0"/>
    <x v="316"/>
  </r>
  <r>
    <x v="0"/>
    <x v="14"/>
    <x v="4"/>
    <n v="6094"/>
    <n v="1.6329176238923531"/>
    <x v="317"/>
  </r>
  <r>
    <x v="1"/>
    <x v="14"/>
    <x v="4"/>
    <n v="6238"/>
    <n v="0"/>
    <x v="318"/>
  </r>
  <r>
    <x v="2"/>
    <x v="14"/>
    <x v="4"/>
    <n v="6379"/>
    <n v="0"/>
    <x v="319"/>
  </r>
  <r>
    <x v="3"/>
    <x v="14"/>
    <x v="4"/>
    <n v="6567"/>
    <n v="0"/>
    <x v="320"/>
  </r>
  <r>
    <x v="4"/>
    <x v="14"/>
    <x v="4"/>
    <n v="6769"/>
    <n v="0"/>
    <x v="321"/>
  </r>
  <r>
    <x v="5"/>
    <x v="14"/>
    <x v="4"/>
    <n v="6978"/>
    <n v="0"/>
    <x v="322"/>
  </r>
  <r>
    <x v="6"/>
    <x v="14"/>
    <x v="4"/>
    <n v="7210"/>
    <n v="0"/>
    <x v="323"/>
  </r>
  <r>
    <x v="7"/>
    <x v="14"/>
    <x v="4"/>
    <n v="7455"/>
    <n v="0"/>
    <x v="324"/>
  </r>
  <r>
    <x v="8"/>
    <x v="14"/>
    <x v="4"/>
    <n v="7679"/>
    <n v="0"/>
    <x v="325"/>
  </r>
  <r>
    <x v="9"/>
    <x v="14"/>
    <x v="4"/>
    <n v="8044"/>
    <n v="0"/>
    <x v="326"/>
  </r>
  <r>
    <x v="10"/>
    <x v="14"/>
    <x v="4"/>
    <n v="8469"/>
    <n v="0"/>
    <x v="159"/>
  </r>
  <r>
    <x v="11"/>
    <x v="14"/>
    <x v="4"/>
    <n v="8734"/>
    <n v="0"/>
    <x v="327"/>
  </r>
  <r>
    <x v="12"/>
    <x v="14"/>
    <x v="4"/>
    <n v="9089"/>
    <n v="0"/>
    <x v="328"/>
  </r>
  <r>
    <x v="13"/>
    <x v="14"/>
    <x v="4"/>
    <n v="9542"/>
    <n v="0"/>
    <x v="329"/>
  </r>
  <r>
    <x v="14"/>
    <x v="14"/>
    <x v="4"/>
    <n v="10153"/>
    <n v="0"/>
    <x v="330"/>
  </r>
  <r>
    <x v="15"/>
    <x v="14"/>
    <x v="4"/>
    <n v="10402"/>
    <n v="0"/>
    <x v="331"/>
  </r>
  <r>
    <x v="16"/>
    <x v="14"/>
    <x v="4"/>
    <n v="11102"/>
    <n v="0"/>
    <x v="332"/>
  </r>
  <r>
    <x v="17"/>
    <x v="14"/>
    <x v="4"/>
    <n v="11655"/>
    <n v="0"/>
    <x v="333"/>
  </r>
  <r>
    <x v="18"/>
    <x v="14"/>
    <x v="4"/>
    <n v="12024"/>
    <n v="0"/>
    <x v="334"/>
  </r>
  <r>
    <x v="19"/>
    <x v="14"/>
    <x v="4"/>
    <n v="13703"/>
    <n v="0"/>
    <x v="335"/>
  </r>
  <r>
    <x v="20"/>
    <x v="14"/>
    <x v="4"/>
    <n v="14305"/>
    <n v="0"/>
    <x v="336"/>
  </r>
  <r>
    <x v="21"/>
    <x v="14"/>
    <x v="4"/>
    <n v="15042"/>
    <n v="0"/>
    <x v="337"/>
  </r>
  <r>
    <x v="22"/>
    <x v="14"/>
    <x v="4"/>
    <n v="16045"/>
    <n v="0"/>
    <x v="338"/>
  </r>
  <r>
    <x v="0"/>
    <x v="15"/>
    <x v="1"/>
    <n v="68"/>
    <n v="-7.3529411764705885E-2"/>
    <x v="339"/>
  </r>
  <r>
    <x v="1"/>
    <x v="15"/>
    <x v="1"/>
    <n v="69"/>
    <n v="0"/>
    <x v="340"/>
  </r>
  <r>
    <x v="2"/>
    <x v="15"/>
    <x v="1"/>
    <n v="71"/>
    <n v="0"/>
    <x v="341"/>
  </r>
  <r>
    <x v="3"/>
    <x v="15"/>
    <x v="1"/>
    <n v="75"/>
    <n v="0"/>
    <x v="342"/>
  </r>
  <r>
    <x v="4"/>
    <x v="15"/>
    <x v="1"/>
    <n v="77"/>
    <n v="0"/>
    <x v="343"/>
  </r>
  <r>
    <x v="5"/>
    <x v="15"/>
    <x v="1"/>
    <n v="77"/>
    <n v="0"/>
    <x v="344"/>
  </r>
  <r>
    <x v="6"/>
    <x v="15"/>
    <x v="1"/>
    <n v="78"/>
    <n v="0"/>
    <x v="345"/>
  </r>
  <r>
    <x v="7"/>
    <x v="15"/>
    <x v="1"/>
    <n v="78"/>
    <n v="0"/>
    <x v="346"/>
  </r>
  <r>
    <x v="8"/>
    <x v="15"/>
    <x v="1"/>
    <n v="78"/>
    <n v="0"/>
    <x v="347"/>
  </r>
  <r>
    <x v="9"/>
    <x v="15"/>
    <x v="1"/>
    <n v="78"/>
    <n v="0"/>
    <x v="348"/>
  </r>
  <r>
    <x v="10"/>
    <x v="15"/>
    <x v="1"/>
    <n v="79"/>
    <n v="0"/>
    <x v="349"/>
  </r>
  <r>
    <x v="11"/>
    <x v="15"/>
    <x v="1"/>
    <n v="80"/>
    <n v="0"/>
    <x v="350"/>
  </r>
  <r>
    <x v="12"/>
    <x v="15"/>
    <x v="1"/>
    <n v="82"/>
    <n v="0"/>
    <x v="351"/>
  </r>
  <r>
    <x v="13"/>
    <x v="15"/>
    <x v="1"/>
    <n v="82"/>
    <n v="0"/>
    <x v="352"/>
  </r>
  <r>
    <x v="14"/>
    <x v="15"/>
    <x v="1"/>
    <n v="79"/>
    <n v="0"/>
    <x v="353"/>
  </r>
  <r>
    <x v="15"/>
    <x v="15"/>
    <x v="1"/>
    <n v="79"/>
    <n v="0"/>
    <x v="353"/>
  </r>
  <r>
    <x v="16"/>
    <x v="15"/>
    <x v="1"/>
    <n v="82"/>
    <n v="0"/>
    <x v="354"/>
  </r>
  <r>
    <x v="17"/>
    <x v="15"/>
    <x v="1"/>
    <n v="86"/>
    <n v="0"/>
    <x v="355"/>
  </r>
  <r>
    <x v="18"/>
    <x v="15"/>
    <x v="1"/>
    <n v="90"/>
    <n v="0"/>
    <x v="356"/>
  </r>
  <r>
    <x v="19"/>
    <x v="15"/>
    <x v="1"/>
    <n v="71"/>
    <n v="0"/>
    <x v="355"/>
  </r>
  <r>
    <x v="20"/>
    <x v="15"/>
    <x v="1"/>
    <n v="76"/>
    <n v="0"/>
    <x v="357"/>
  </r>
  <r>
    <x v="21"/>
    <x v="15"/>
    <x v="1"/>
    <n v="72"/>
    <n v="0"/>
    <x v="358"/>
  </r>
  <r>
    <x v="22"/>
    <x v="15"/>
    <x v="1"/>
    <n v="63"/>
    <n v="0"/>
    <x v="359"/>
  </r>
  <r>
    <x v="0"/>
    <x v="16"/>
    <x v="1"/>
    <n v="66"/>
    <n v="0.46969696969696972"/>
    <x v="360"/>
  </r>
  <r>
    <x v="1"/>
    <x v="16"/>
    <x v="1"/>
    <n v="68"/>
    <n v="0"/>
    <x v="361"/>
  </r>
  <r>
    <x v="2"/>
    <x v="16"/>
    <x v="1"/>
    <n v="69"/>
    <n v="0"/>
    <x v="362"/>
  </r>
  <r>
    <x v="3"/>
    <x v="16"/>
    <x v="1"/>
    <n v="71"/>
    <n v="0"/>
    <x v="363"/>
  </r>
  <r>
    <x v="4"/>
    <x v="16"/>
    <x v="1"/>
    <n v="73"/>
    <n v="0"/>
    <x v="364"/>
  </r>
  <r>
    <x v="5"/>
    <x v="16"/>
    <x v="1"/>
    <n v="74"/>
    <n v="0"/>
    <x v="365"/>
  </r>
  <r>
    <x v="6"/>
    <x v="16"/>
    <x v="1"/>
    <n v="77"/>
    <n v="0"/>
    <x v="366"/>
  </r>
  <r>
    <x v="7"/>
    <x v="16"/>
    <x v="1"/>
    <n v="77"/>
    <n v="0"/>
    <x v="359"/>
  </r>
  <r>
    <x v="8"/>
    <x v="16"/>
    <x v="1"/>
    <n v="78"/>
    <n v="0"/>
    <x v="367"/>
  </r>
  <r>
    <x v="9"/>
    <x v="16"/>
    <x v="1"/>
    <n v="79"/>
    <n v="0"/>
    <x v="346"/>
  </r>
  <r>
    <x v="10"/>
    <x v="16"/>
    <x v="1"/>
    <n v="80"/>
    <n v="0"/>
    <x v="349"/>
  </r>
  <r>
    <x v="11"/>
    <x v="16"/>
    <x v="1"/>
    <n v="81"/>
    <n v="0"/>
    <x v="358"/>
  </r>
  <r>
    <x v="12"/>
    <x v="16"/>
    <x v="1"/>
    <n v="82"/>
    <n v="0"/>
    <x v="368"/>
  </r>
  <r>
    <x v="13"/>
    <x v="16"/>
    <x v="1"/>
    <n v="83"/>
    <n v="0"/>
    <x v="357"/>
  </r>
  <r>
    <x v="14"/>
    <x v="16"/>
    <x v="1"/>
    <n v="84"/>
    <n v="0"/>
    <x v="369"/>
  </r>
  <r>
    <x v="15"/>
    <x v="16"/>
    <x v="1"/>
    <n v="84"/>
    <n v="0"/>
    <x v="370"/>
  </r>
  <r>
    <x v="16"/>
    <x v="16"/>
    <x v="1"/>
    <n v="85"/>
    <n v="0"/>
    <x v="371"/>
  </r>
  <r>
    <x v="17"/>
    <x v="16"/>
    <x v="1"/>
    <n v="87"/>
    <n v="0"/>
    <x v="372"/>
  </r>
  <r>
    <x v="18"/>
    <x v="16"/>
    <x v="1"/>
    <n v="88"/>
    <n v="0"/>
    <x v="373"/>
  </r>
  <r>
    <x v="19"/>
    <x v="16"/>
    <x v="1"/>
    <n v="89"/>
    <n v="0"/>
    <x v="374"/>
  </r>
  <r>
    <x v="20"/>
    <x v="16"/>
    <x v="1"/>
    <n v="90"/>
    <n v="0"/>
    <x v="375"/>
  </r>
  <r>
    <x v="21"/>
    <x v="16"/>
    <x v="1"/>
    <n v="94"/>
    <n v="0"/>
    <x v="376"/>
  </r>
  <r>
    <x v="22"/>
    <x v="16"/>
    <x v="1"/>
    <n v="97"/>
    <n v="0"/>
    <x v="377"/>
  </r>
  <r>
    <x v="0"/>
    <x v="17"/>
    <x v="1"/>
    <n v="14"/>
    <n v="3.1428571428571428"/>
    <x v="378"/>
  </r>
  <r>
    <x v="1"/>
    <x v="17"/>
    <x v="1"/>
    <n v="15"/>
    <n v="0"/>
    <x v="126"/>
  </r>
  <r>
    <x v="2"/>
    <x v="17"/>
    <x v="1"/>
    <n v="15"/>
    <n v="0"/>
    <x v="379"/>
  </r>
  <r>
    <x v="3"/>
    <x v="17"/>
    <x v="1"/>
    <n v="16"/>
    <n v="0"/>
    <x v="380"/>
  </r>
  <r>
    <x v="4"/>
    <x v="17"/>
    <x v="1"/>
    <n v="15"/>
    <n v="0"/>
    <x v="381"/>
  </r>
  <r>
    <x v="5"/>
    <x v="17"/>
    <x v="1"/>
    <n v="16"/>
    <n v="0"/>
    <x v="382"/>
  </r>
  <r>
    <x v="6"/>
    <x v="17"/>
    <x v="1"/>
    <n v="17"/>
    <n v="0"/>
    <x v="383"/>
  </r>
  <r>
    <x v="7"/>
    <x v="17"/>
    <x v="1"/>
    <n v="17"/>
    <n v="0"/>
    <x v="384"/>
  </r>
  <r>
    <x v="8"/>
    <x v="17"/>
    <x v="1"/>
    <n v="11"/>
    <n v="0"/>
    <x v="385"/>
  </r>
  <r>
    <x v="9"/>
    <x v="17"/>
    <x v="1"/>
    <n v="11"/>
    <n v="0"/>
    <x v="386"/>
  </r>
  <r>
    <x v="10"/>
    <x v="17"/>
    <x v="1"/>
    <n v="14"/>
    <n v="0"/>
    <x v="387"/>
  </r>
  <r>
    <x v="11"/>
    <x v="17"/>
    <x v="1"/>
    <n v="14"/>
    <n v="0"/>
    <x v="388"/>
  </r>
  <r>
    <x v="12"/>
    <x v="17"/>
    <x v="1"/>
    <n v="15"/>
    <n v="0"/>
    <x v="389"/>
  </r>
  <r>
    <x v="13"/>
    <x v="17"/>
    <x v="1"/>
    <n v="20"/>
    <n v="0"/>
    <x v="390"/>
  </r>
  <r>
    <x v="14"/>
    <x v="17"/>
    <x v="1"/>
    <n v="22"/>
    <n v="0"/>
    <x v="391"/>
  </r>
  <r>
    <x v="15"/>
    <x v="17"/>
    <x v="1"/>
    <n v="24"/>
    <n v="0"/>
    <x v="392"/>
  </r>
  <r>
    <x v="16"/>
    <x v="17"/>
    <x v="1"/>
    <n v="25"/>
    <n v="0"/>
    <x v="393"/>
  </r>
  <r>
    <x v="17"/>
    <x v="17"/>
    <x v="1"/>
    <n v="26"/>
    <n v="0"/>
    <x v="394"/>
  </r>
  <r>
    <x v="18"/>
    <x v="17"/>
    <x v="1"/>
    <n v="24"/>
    <n v="0"/>
    <x v="395"/>
  </r>
  <r>
    <x v="19"/>
    <x v="17"/>
    <x v="1"/>
    <n v="25"/>
    <n v="0"/>
    <x v="396"/>
  </r>
  <r>
    <x v="20"/>
    <x v="17"/>
    <x v="1"/>
    <n v="24.8"/>
    <n v="0"/>
    <x v="397"/>
  </r>
  <r>
    <x v="0"/>
    <x v="18"/>
    <x v="1"/>
    <n v="57"/>
    <n v="-7.0175438596491224E-2"/>
    <x v="398"/>
  </r>
  <r>
    <x v="1"/>
    <x v="18"/>
    <x v="1"/>
    <n v="58"/>
    <n v="0"/>
    <x v="399"/>
  </r>
  <r>
    <x v="2"/>
    <x v="18"/>
    <x v="1"/>
    <n v="63"/>
    <n v="0"/>
    <x v="400"/>
  </r>
  <r>
    <x v="3"/>
    <x v="18"/>
    <x v="1"/>
    <n v="69"/>
    <n v="0"/>
    <x v="401"/>
  </r>
  <r>
    <x v="4"/>
    <x v="18"/>
    <x v="1"/>
    <n v="74"/>
    <n v="0"/>
    <x v="402"/>
  </r>
  <r>
    <x v="5"/>
    <x v="18"/>
    <x v="1"/>
    <n v="67"/>
    <n v="0"/>
    <x v="403"/>
  </r>
  <r>
    <x v="6"/>
    <x v="18"/>
    <x v="1"/>
    <n v="45"/>
    <n v="0"/>
    <x v="404"/>
  </r>
  <r>
    <x v="7"/>
    <x v="18"/>
    <x v="1"/>
    <n v="53"/>
    <n v="0"/>
    <x v="124"/>
  </r>
  <r>
    <x v="8"/>
    <x v="18"/>
    <x v="1"/>
    <n v="78"/>
    <n v="0"/>
    <x v="405"/>
  </r>
  <r>
    <x v="9"/>
    <x v="18"/>
    <x v="1"/>
    <n v="76"/>
    <n v="0"/>
    <x v="406"/>
  </r>
  <r>
    <x v="10"/>
    <x v="18"/>
    <x v="1"/>
    <n v="78"/>
    <n v="0"/>
    <x v="407"/>
  </r>
  <r>
    <x v="11"/>
    <x v="18"/>
    <x v="1"/>
    <n v="79"/>
    <n v="0"/>
    <x v="366"/>
  </r>
  <r>
    <x v="12"/>
    <x v="18"/>
    <x v="1"/>
    <n v="81"/>
    <n v="0"/>
    <x v="408"/>
  </r>
  <r>
    <x v="13"/>
    <x v="18"/>
    <x v="1"/>
    <n v="76"/>
    <n v="0"/>
    <x v="409"/>
  </r>
  <r>
    <x v="14"/>
    <x v="18"/>
    <x v="1"/>
    <n v="77"/>
    <n v="0"/>
    <x v="349"/>
  </r>
  <r>
    <x v="15"/>
    <x v="18"/>
    <x v="1"/>
    <n v="79"/>
    <n v="0"/>
    <x v="408"/>
  </r>
  <r>
    <x v="16"/>
    <x v="18"/>
    <x v="1"/>
    <n v="74"/>
    <n v="0"/>
    <x v="410"/>
  </r>
  <r>
    <x v="17"/>
    <x v="18"/>
    <x v="1"/>
    <n v="73"/>
    <n v="0"/>
    <x v="367"/>
  </r>
  <r>
    <x v="18"/>
    <x v="18"/>
    <x v="1"/>
    <n v="62"/>
    <n v="0"/>
    <x v="411"/>
  </r>
  <r>
    <x v="19"/>
    <x v="18"/>
    <x v="1"/>
    <n v="56"/>
    <n v="0"/>
    <x v="412"/>
  </r>
  <r>
    <x v="20"/>
    <x v="18"/>
    <x v="1"/>
    <n v="61"/>
    <n v="0"/>
    <x v="413"/>
  </r>
  <r>
    <x v="21"/>
    <x v="18"/>
    <x v="1"/>
    <n v="50"/>
    <n v="0"/>
    <x v="414"/>
  </r>
  <r>
    <x v="22"/>
    <x v="18"/>
    <x v="1"/>
    <n v="53"/>
    <n v="0"/>
    <x v="415"/>
  </r>
  <r>
    <x v="0"/>
    <x v="19"/>
    <x v="2"/>
    <n v="929"/>
    <n v="1.83745963401507"/>
    <x v="416"/>
  </r>
  <r>
    <x v="1"/>
    <x v="19"/>
    <x v="2"/>
    <n v="941"/>
    <n v="0"/>
    <x v="417"/>
  </r>
  <r>
    <x v="2"/>
    <x v="19"/>
    <x v="2"/>
    <n v="997"/>
    <n v="0"/>
    <x v="418"/>
  </r>
  <r>
    <x v="3"/>
    <x v="19"/>
    <x v="2"/>
    <n v="1283"/>
    <n v="0"/>
    <x v="419"/>
  </r>
  <r>
    <x v="4"/>
    <x v="19"/>
    <x v="2"/>
    <n v="1342"/>
    <n v="0"/>
    <x v="420"/>
  </r>
  <r>
    <x v="5"/>
    <x v="19"/>
    <x v="2"/>
    <n v="1431"/>
    <n v="0"/>
    <x v="421"/>
  </r>
  <r>
    <x v="6"/>
    <x v="19"/>
    <x v="2"/>
    <n v="1625"/>
    <n v="0"/>
    <x v="422"/>
  </r>
  <r>
    <x v="7"/>
    <x v="19"/>
    <x v="2"/>
    <n v="1598"/>
    <n v="0"/>
    <x v="423"/>
  </r>
  <r>
    <x v="8"/>
    <x v="19"/>
    <x v="2"/>
    <n v="1651"/>
    <n v="0"/>
    <x v="424"/>
  </r>
  <r>
    <x v="9"/>
    <x v="19"/>
    <x v="2"/>
    <n v="1671"/>
    <n v="0"/>
    <x v="425"/>
  </r>
  <r>
    <x v="10"/>
    <x v="19"/>
    <x v="2"/>
    <n v="1721"/>
    <n v="0"/>
    <x v="426"/>
  </r>
  <r>
    <x v="11"/>
    <x v="19"/>
    <x v="2"/>
    <n v="1724"/>
    <n v="0"/>
    <x v="427"/>
  </r>
  <r>
    <x v="12"/>
    <x v="19"/>
    <x v="2"/>
    <n v="1861"/>
    <n v="0"/>
    <x v="428"/>
  </r>
  <r>
    <x v="13"/>
    <x v="19"/>
    <x v="2"/>
    <n v="1903"/>
    <n v="0"/>
    <x v="429"/>
  </r>
  <r>
    <x v="14"/>
    <x v="19"/>
    <x v="2"/>
    <n v="1930"/>
    <n v="0"/>
    <x v="430"/>
  </r>
  <r>
    <x v="15"/>
    <x v="19"/>
    <x v="2"/>
    <n v="2003"/>
    <n v="0"/>
    <x v="431"/>
  </r>
  <r>
    <x v="16"/>
    <x v="19"/>
    <x v="2"/>
    <n v="2088"/>
    <n v="0"/>
    <x v="432"/>
  </r>
  <r>
    <x v="17"/>
    <x v="19"/>
    <x v="2"/>
    <n v="2311"/>
    <n v="0"/>
    <x v="433"/>
  </r>
  <r>
    <x v="18"/>
    <x v="19"/>
    <x v="2"/>
    <n v="2370"/>
    <n v="0"/>
    <x v="434"/>
  </r>
  <r>
    <x v="19"/>
    <x v="19"/>
    <x v="2"/>
    <n v="2373"/>
    <n v="0"/>
    <x v="435"/>
  </r>
  <r>
    <x v="20"/>
    <x v="19"/>
    <x v="2"/>
    <n v="2402"/>
    <n v="0"/>
    <x v="436"/>
  </r>
  <r>
    <x v="21"/>
    <x v="19"/>
    <x v="2"/>
    <n v="2476"/>
    <n v="0"/>
    <x v="437"/>
  </r>
  <r>
    <x v="22"/>
    <x v="19"/>
    <x v="2"/>
    <n v="2636"/>
    <n v="0"/>
    <x v="438"/>
  </r>
  <r>
    <x v="0"/>
    <x v="20"/>
    <x v="5"/>
    <n v="7731"/>
    <n v="0.16763678696158324"/>
    <x v="439"/>
  </r>
  <r>
    <x v="1"/>
    <x v="20"/>
    <x v="5"/>
    <n v="7855"/>
    <n v="0"/>
    <x v="440"/>
  </r>
  <r>
    <x v="2"/>
    <x v="20"/>
    <x v="5"/>
    <n v="7948"/>
    <n v="0"/>
    <x v="441"/>
  </r>
  <r>
    <x v="3"/>
    <x v="20"/>
    <x v="5"/>
    <n v="8012"/>
    <n v="0"/>
    <x v="442"/>
  </r>
  <r>
    <x v="4"/>
    <x v="20"/>
    <x v="5"/>
    <n v="8071"/>
    <n v="0"/>
    <x v="443"/>
  </r>
  <r>
    <x v="5"/>
    <x v="20"/>
    <x v="5"/>
    <n v="8125"/>
    <n v="0"/>
    <x v="444"/>
  </r>
  <r>
    <x v="6"/>
    <x v="20"/>
    <x v="5"/>
    <n v="8179"/>
    <n v="0"/>
    <x v="445"/>
  </r>
  <r>
    <x v="7"/>
    <x v="20"/>
    <x v="5"/>
    <n v="8232"/>
    <n v="0"/>
    <x v="446"/>
  </r>
  <r>
    <x v="8"/>
    <x v="20"/>
    <x v="5"/>
    <n v="8285"/>
    <n v="0"/>
    <x v="447"/>
  </r>
  <r>
    <x v="9"/>
    <x v="20"/>
    <x v="5"/>
    <n v="8338"/>
    <n v="0"/>
    <x v="448"/>
  </r>
  <r>
    <x v="10"/>
    <x v="20"/>
    <x v="5"/>
    <n v="8391"/>
    <n v="0"/>
    <x v="449"/>
  </r>
  <r>
    <x v="11"/>
    <x v="20"/>
    <x v="5"/>
    <n v="8444"/>
    <n v="0"/>
    <x v="450"/>
  </r>
  <r>
    <x v="12"/>
    <x v="20"/>
    <x v="5"/>
    <n v="8497"/>
    <n v="0"/>
    <x v="451"/>
  </r>
  <r>
    <x v="13"/>
    <x v="20"/>
    <x v="5"/>
    <n v="8550"/>
    <n v="0"/>
    <x v="452"/>
  </r>
  <r>
    <x v="14"/>
    <x v="20"/>
    <x v="5"/>
    <n v="8603"/>
    <n v="0"/>
    <x v="453"/>
  </r>
  <r>
    <x v="15"/>
    <x v="20"/>
    <x v="5"/>
    <n v="8656"/>
    <n v="0"/>
    <x v="454"/>
  </r>
  <r>
    <x v="16"/>
    <x v="20"/>
    <x v="5"/>
    <n v="8709"/>
    <n v="0"/>
    <x v="455"/>
  </r>
  <r>
    <x v="17"/>
    <x v="20"/>
    <x v="5"/>
    <n v="8762"/>
    <n v="0"/>
    <x v="456"/>
  </r>
  <r>
    <x v="18"/>
    <x v="20"/>
    <x v="5"/>
    <n v="8815"/>
    <n v="0"/>
    <x v="457"/>
  </r>
  <r>
    <x v="19"/>
    <x v="20"/>
    <x v="5"/>
    <n v="8868"/>
    <n v="0"/>
    <x v="458"/>
  </r>
  <r>
    <x v="20"/>
    <x v="20"/>
    <x v="5"/>
    <n v="8921"/>
    <n v="0"/>
    <x v="459"/>
  </r>
  <r>
    <x v="21"/>
    <x v="20"/>
    <x v="5"/>
    <n v="8974"/>
    <n v="0"/>
    <x v="460"/>
  </r>
  <r>
    <x v="22"/>
    <x v="20"/>
    <x v="5"/>
    <n v="9027"/>
    <n v="0"/>
    <x v="461"/>
  </r>
  <r>
    <x v="0"/>
    <x v="21"/>
    <x v="5"/>
    <n v="4652"/>
    <n v="0.51074806534823736"/>
    <x v="462"/>
  </r>
  <r>
    <x v="1"/>
    <x v="21"/>
    <x v="5"/>
    <n v="4760"/>
    <n v="0"/>
    <x v="463"/>
  </r>
  <r>
    <x v="2"/>
    <x v="21"/>
    <x v="5"/>
    <n v="4868"/>
    <n v="0"/>
    <x v="464"/>
  </r>
  <r>
    <x v="3"/>
    <x v="21"/>
    <x v="5"/>
    <n v="4976"/>
    <n v="0"/>
    <x v="465"/>
  </r>
  <r>
    <x v="4"/>
    <x v="21"/>
    <x v="5"/>
    <n v="5084"/>
    <n v="0"/>
    <x v="466"/>
  </r>
  <r>
    <x v="5"/>
    <x v="21"/>
    <x v="5"/>
    <n v="5192"/>
    <n v="0"/>
    <x v="467"/>
  </r>
  <r>
    <x v="6"/>
    <x v="21"/>
    <x v="5"/>
    <n v="5300"/>
    <n v="0"/>
    <x v="468"/>
  </r>
  <r>
    <x v="7"/>
    <x v="21"/>
    <x v="5"/>
    <n v="5408"/>
    <n v="0"/>
    <x v="469"/>
  </r>
  <r>
    <x v="8"/>
    <x v="21"/>
    <x v="5"/>
    <n v="5516"/>
    <n v="0"/>
    <x v="470"/>
  </r>
  <r>
    <x v="9"/>
    <x v="21"/>
    <x v="5"/>
    <n v="5624"/>
    <n v="0"/>
    <x v="471"/>
  </r>
  <r>
    <x v="10"/>
    <x v="21"/>
    <x v="5"/>
    <n v="5732"/>
    <n v="0"/>
    <x v="472"/>
  </r>
  <r>
    <x v="11"/>
    <x v="21"/>
    <x v="5"/>
    <n v="5840"/>
    <n v="0"/>
    <x v="473"/>
  </r>
  <r>
    <x v="12"/>
    <x v="21"/>
    <x v="5"/>
    <n v="5948"/>
    <n v="0"/>
    <x v="474"/>
  </r>
  <r>
    <x v="13"/>
    <x v="21"/>
    <x v="5"/>
    <n v="6056"/>
    <n v="0"/>
    <x v="475"/>
  </r>
  <r>
    <x v="14"/>
    <x v="21"/>
    <x v="5"/>
    <n v="6164"/>
    <n v="0"/>
    <x v="476"/>
  </r>
  <r>
    <x v="15"/>
    <x v="21"/>
    <x v="5"/>
    <n v="6272"/>
    <n v="0"/>
    <x v="477"/>
  </r>
  <r>
    <x v="16"/>
    <x v="21"/>
    <x v="5"/>
    <n v="6380"/>
    <n v="0"/>
    <x v="478"/>
  </r>
  <r>
    <x v="17"/>
    <x v="21"/>
    <x v="5"/>
    <n v="6488"/>
    <n v="0"/>
    <x v="479"/>
  </r>
  <r>
    <x v="18"/>
    <x v="21"/>
    <x v="5"/>
    <n v="6596"/>
    <n v="0"/>
    <x v="480"/>
  </r>
  <r>
    <x v="19"/>
    <x v="21"/>
    <x v="5"/>
    <n v="6704"/>
    <n v="0"/>
    <x v="481"/>
  </r>
  <r>
    <x v="20"/>
    <x v="21"/>
    <x v="5"/>
    <n v="6812"/>
    <n v="0"/>
    <x v="482"/>
  </r>
  <r>
    <x v="21"/>
    <x v="21"/>
    <x v="5"/>
    <n v="6920"/>
    <n v="0"/>
    <x v="483"/>
  </r>
  <r>
    <x v="22"/>
    <x v="21"/>
    <x v="5"/>
    <n v="7028"/>
    <n v="0"/>
    <x v="484"/>
  </r>
  <r>
    <x v="0"/>
    <x v="22"/>
    <x v="1"/>
    <n v="23"/>
    <n v="0.56521739130434778"/>
    <x v="485"/>
  </r>
  <r>
    <x v="1"/>
    <x v="22"/>
    <x v="1"/>
    <n v="24"/>
    <n v="0"/>
    <x v="486"/>
  </r>
  <r>
    <x v="2"/>
    <x v="22"/>
    <x v="1"/>
    <n v="24"/>
    <n v="0"/>
    <x v="487"/>
  </r>
  <r>
    <x v="3"/>
    <x v="22"/>
    <x v="1"/>
    <n v="25"/>
    <n v="0"/>
    <x v="488"/>
  </r>
  <r>
    <x v="4"/>
    <x v="22"/>
    <x v="1"/>
    <n v="25"/>
    <n v="0"/>
    <x v="395"/>
  </r>
  <r>
    <x v="5"/>
    <x v="22"/>
    <x v="1"/>
    <n v="25"/>
    <n v="0"/>
    <x v="32"/>
  </r>
  <r>
    <x v="6"/>
    <x v="22"/>
    <x v="1"/>
    <n v="26"/>
    <n v="0"/>
    <x v="489"/>
  </r>
  <r>
    <x v="7"/>
    <x v="22"/>
    <x v="1"/>
    <n v="26"/>
    <n v="0"/>
    <x v="490"/>
  </r>
  <r>
    <x v="8"/>
    <x v="22"/>
    <x v="1"/>
    <n v="26"/>
    <n v="0"/>
    <x v="491"/>
  </r>
  <r>
    <x v="9"/>
    <x v="22"/>
    <x v="1"/>
    <n v="26"/>
    <n v="0"/>
    <x v="492"/>
  </r>
  <r>
    <x v="10"/>
    <x v="22"/>
    <x v="1"/>
    <n v="27"/>
    <n v="0"/>
    <x v="493"/>
  </r>
  <r>
    <x v="11"/>
    <x v="22"/>
    <x v="1"/>
    <n v="27"/>
    <n v="0"/>
    <x v="31"/>
  </r>
  <r>
    <x v="12"/>
    <x v="22"/>
    <x v="1"/>
    <n v="28"/>
    <n v="0"/>
    <x v="494"/>
  </r>
  <r>
    <x v="13"/>
    <x v="22"/>
    <x v="1"/>
    <n v="28"/>
    <n v="0"/>
    <x v="495"/>
  </r>
  <r>
    <x v="14"/>
    <x v="22"/>
    <x v="1"/>
    <n v="29"/>
    <n v="0"/>
    <x v="496"/>
  </r>
  <r>
    <x v="15"/>
    <x v="22"/>
    <x v="1"/>
    <n v="29"/>
    <n v="0"/>
    <x v="497"/>
  </r>
  <r>
    <x v="16"/>
    <x v="22"/>
    <x v="1"/>
    <n v="30"/>
    <n v="0"/>
    <x v="498"/>
  </r>
  <r>
    <x v="17"/>
    <x v="22"/>
    <x v="1"/>
    <n v="31"/>
    <n v="0"/>
    <x v="499"/>
  </r>
  <r>
    <x v="18"/>
    <x v="22"/>
    <x v="1"/>
    <n v="32"/>
    <n v="0"/>
    <x v="500"/>
  </r>
  <r>
    <x v="19"/>
    <x v="22"/>
    <x v="1"/>
    <n v="33"/>
    <n v="0"/>
    <x v="501"/>
  </r>
  <r>
    <x v="20"/>
    <x v="22"/>
    <x v="1"/>
    <n v="34"/>
    <n v="0"/>
    <x v="502"/>
  </r>
  <r>
    <x v="21"/>
    <x v="22"/>
    <x v="1"/>
    <n v="35"/>
    <n v="0"/>
    <x v="503"/>
  </r>
  <r>
    <x v="22"/>
    <x v="22"/>
    <x v="1"/>
    <n v="36"/>
    <n v="0"/>
    <x v="504"/>
  </r>
  <r>
    <x v="0"/>
    <x v="23"/>
    <x v="0"/>
    <n v="4972"/>
    <n v="0.57683024939662109"/>
    <x v="505"/>
  </r>
  <r>
    <x v="1"/>
    <x v="23"/>
    <x v="0"/>
    <n v="5107"/>
    <n v="0"/>
    <x v="506"/>
  </r>
  <r>
    <x v="2"/>
    <x v="23"/>
    <x v="0"/>
    <n v="5239"/>
    <n v="0"/>
    <x v="507"/>
  </r>
  <r>
    <x v="3"/>
    <x v="23"/>
    <x v="0"/>
    <n v="5370"/>
    <n v="0"/>
    <x v="508"/>
  </r>
  <r>
    <x v="4"/>
    <x v="23"/>
    <x v="0"/>
    <n v="5500"/>
    <n v="0"/>
    <x v="509"/>
  </r>
  <r>
    <x v="5"/>
    <x v="23"/>
    <x v="0"/>
    <n v="5630"/>
    <n v="0"/>
    <x v="510"/>
  </r>
  <r>
    <x v="6"/>
    <x v="23"/>
    <x v="0"/>
    <n v="5760"/>
    <n v="0"/>
    <x v="511"/>
  </r>
  <r>
    <x v="7"/>
    <x v="23"/>
    <x v="0"/>
    <n v="5890"/>
    <n v="0"/>
    <x v="512"/>
  </r>
  <r>
    <x v="8"/>
    <x v="23"/>
    <x v="0"/>
    <n v="6020"/>
    <n v="0"/>
    <x v="513"/>
  </r>
  <r>
    <x v="9"/>
    <x v="23"/>
    <x v="0"/>
    <n v="6150"/>
    <n v="0"/>
    <x v="514"/>
  </r>
  <r>
    <x v="10"/>
    <x v="23"/>
    <x v="0"/>
    <n v="6280"/>
    <n v="0"/>
    <x v="515"/>
  </r>
  <r>
    <x v="11"/>
    <x v="23"/>
    <x v="0"/>
    <n v="6410"/>
    <n v="0"/>
    <x v="516"/>
  </r>
  <r>
    <x v="12"/>
    <x v="23"/>
    <x v="0"/>
    <n v="6540"/>
    <n v="0"/>
    <x v="517"/>
  </r>
  <r>
    <x v="13"/>
    <x v="23"/>
    <x v="0"/>
    <n v="6670"/>
    <n v="0"/>
    <x v="518"/>
  </r>
  <r>
    <x v="14"/>
    <x v="23"/>
    <x v="0"/>
    <n v="6800"/>
    <n v="0"/>
    <x v="519"/>
  </r>
  <r>
    <x v="15"/>
    <x v="23"/>
    <x v="0"/>
    <n v="6930"/>
    <n v="0"/>
    <x v="520"/>
  </r>
  <r>
    <x v="16"/>
    <x v="23"/>
    <x v="0"/>
    <n v="7060"/>
    <n v="0"/>
    <x v="521"/>
  </r>
  <r>
    <x v="17"/>
    <x v="23"/>
    <x v="0"/>
    <n v="7190"/>
    <n v="0"/>
    <x v="522"/>
  </r>
  <r>
    <x v="18"/>
    <x v="23"/>
    <x v="0"/>
    <n v="7320"/>
    <n v="0"/>
    <x v="523"/>
  </r>
  <r>
    <x v="19"/>
    <x v="23"/>
    <x v="0"/>
    <n v="7450"/>
    <n v="0"/>
    <x v="524"/>
  </r>
  <r>
    <x v="20"/>
    <x v="23"/>
    <x v="0"/>
    <n v="7580"/>
    <n v="0"/>
    <x v="525"/>
  </r>
  <r>
    <x v="21"/>
    <x v="23"/>
    <x v="0"/>
    <n v="7710"/>
    <n v="0"/>
    <x v="526"/>
  </r>
  <r>
    <x v="22"/>
    <x v="23"/>
    <x v="0"/>
    <n v="7840"/>
    <n v="0"/>
    <x v="527"/>
  </r>
  <r>
    <x v="0"/>
    <x v="24"/>
    <x v="0"/>
    <n v="4219"/>
    <n v="1.3695188433278027"/>
    <x v="528"/>
  </r>
  <r>
    <x v="1"/>
    <x v="24"/>
    <x v="0"/>
    <n v="4530"/>
    <n v="0"/>
    <x v="529"/>
  </r>
  <r>
    <x v="2"/>
    <x v="24"/>
    <x v="0"/>
    <n v="4799"/>
    <n v="0"/>
    <x v="530"/>
  </r>
  <r>
    <x v="3"/>
    <x v="24"/>
    <x v="0"/>
    <n v="5047"/>
    <n v="0"/>
    <x v="531"/>
  </r>
  <r>
    <x v="4"/>
    <x v="24"/>
    <x v="0"/>
    <n v="5290"/>
    <n v="0"/>
    <x v="532"/>
  </r>
  <r>
    <x v="5"/>
    <x v="24"/>
    <x v="0"/>
    <n v="5564"/>
    <n v="0"/>
    <x v="533"/>
  </r>
  <r>
    <x v="6"/>
    <x v="24"/>
    <x v="0"/>
    <n v="5823"/>
    <n v="0"/>
    <x v="534"/>
  </r>
  <r>
    <x v="7"/>
    <x v="24"/>
    <x v="0"/>
    <n v="6047"/>
    <n v="0"/>
    <x v="535"/>
  </r>
  <r>
    <x v="8"/>
    <x v="24"/>
    <x v="0"/>
    <n v="6350"/>
    <n v="0"/>
    <x v="536"/>
  </r>
  <r>
    <x v="9"/>
    <x v="24"/>
    <x v="0"/>
    <n v="6596"/>
    <n v="0"/>
    <x v="537"/>
  </r>
  <r>
    <x v="10"/>
    <x v="24"/>
    <x v="0"/>
    <n v="6847"/>
    <n v="0"/>
    <x v="538"/>
  </r>
  <r>
    <x v="11"/>
    <x v="24"/>
    <x v="0"/>
    <n v="7072"/>
    <n v="0"/>
    <x v="539"/>
  </r>
  <r>
    <x v="12"/>
    <x v="24"/>
    <x v="0"/>
    <n v="7312"/>
    <n v="0"/>
    <x v="540"/>
  </r>
  <r>
    <x v="13"/>
    <x v="24"/>
    <x v="0"/>
    <n v="7558"/>
    <n v="0"/>
    <x v="541"/>
  </r>
  <r>
    <x v="14"/>
    <x v="24"/>
    <x v="0"/>
    <n v="7809"/>
    <n v="0"/>
    <x v="542"/>
  </r>
  <r>
    <x v="15"/>
    <x v="24"/>
    <x v="0"/>
    <n v="8065"/>
    <n v="0"/>
    <x v="543"/>
  </r>
  <r>
    <x v="16"/>
    <x v="24"/>
    <x v="0"/>
    <n v="8326"/>
    <n v="0"/>
    <x v="544"/>
  </r>
  <r>
    <x v="17"/>
    <x v="24"/>
    <x v="0"/>
    <n v="8592"/>
    <n v="0"/>
    <x v="545"/>
  </r>
  <r>
    <x v="18"/>
    <x v="24"/>
    <x v="0"/>
    <n v="8863"/>
    <n v="0"/>
    <x v="546"/>
  </r>
  <r>
    <x v="19"/>
    <x v="24"/>
    <x v="0"/>
    <n v="9139"/>
    <n v="0"/>
    <x v="547"/>
  </r>
  <r>
    <x v="20"/>
    <x v="24"/>
    <x v="0"/>
    <n v="9420"/>
    <n v="0"/>
    <x v="460"/>
  </r>
  <r>
    <x v="21"/>
    <x v="24"/>
    <x v="0"/>
    <n v="9706"/>
    <n v="0"/>
    <x v="548"/>
  </r>
  <r>
    <x v="22"/>
    <x v="24"/>
    <x v="0"/>
    <n v="9997"/>
    <n v="0"/>
    <x v="549"/>
  </r>
  <r>
    <x v="0"/>
    <x v="25"/>
    <x v="1"/>
    <n v="163"/>
    <n v="0.67484662576687116"/>
    <x v="550"/>
  </r>
  <r>
    <x v="1"/>
    <x v="25"/>
    <x v="1"/>
    <n v="168"/>
    <n v="0"/>
    <x v="551"/>
  </r>
  <r>
    <x v="2"/>
    <x v="25"/>
    <x v="1"/>
    <n v="173"/>
    <n v="0"/>
    <x v="552"/>
  </r>
  <r>
    <x v="3"/>
    <x v="25"/>
    <x v="1"/>
    <n v="178"/>
    <n v="0"/>
    <x v="553"/>
  </r>
  <r>
    <x v="4"/>
    <x v="25"/>
    <x v="1"/>
    <n v="183"/>
    <n v="0"/>
    <x v="554"/>
  </r>
  <r>
    <x v="5"/>
    <x v="25"/>
    <x v="1"/>
    <n v="188"/>
    <n v="0"/>
    <x v="555"/>
  </r>
  <r>
    <x v="6"/>
    <x v="25"/>
    <x v="1"/>
    <n v="193"/>
    <n v="0"/>
    <x v="556"/>
  </r>
  <r>
    <x v="7"/>
    <x v="25"/>
    <x v="1"/>
    <n v="198"/>
    <n v="0"/>
    <x v="557"/>
  </r>
  <r>
    <x v="8"/>
    <x v="25"/>
    <x v="1"/>
    <n v="203"/>
    <n v="0"/>
    <x v="558"/>
  </r>
  <r>
    <x v="9"/>
    <x v="25"/>
    <x v="1"/>
    <n v="208"/>
    <n v="0"/>
    <x v="559"/>
  </r>
  <r>
    <x v="10"/>
    <x v="25"/>
    <x v="1"/>
    <n v="213"/>
    <n v="0"/>
    <x v="560"/>
  </r>
  <r>
    <x v="11"/>
    <x v="25"/>
    <x v="1"/>
    <n v="218"/>
    <n v="0"/>
    <x v="561"/>
  </r>
  <r>
    <x v="12"/>
    <x v="25"/>
    <x v="1"/>
    <n v="223"/>
    <n v="0"/>
    <x v="562"/>
  </r>
  <r>
    <x v="13"/>
    <x v="25"/>
    <x v="1"/>
    <n v="228"/>
    <n v="0"/>
    <x v="563"/>
  </r>
  <r>
    <x v="14"/>
    <x v="25"/>
    <x v="1"/>
    <n v="233"/>
    <n v="0"/>
    <x v="564"/>
  </r>
  <r>
    <x v="15"/>
    <x v="25"/>
    <x v="1"/>
    <n v="238"/>
    <n v="0"/>
    <x v="565"/>
  </r>
  <r>
    <x v="16"/>
    <x v="25"/>
    <x v="1"/>
    <n v="243"/>
    <n v="0"/>
    <x v="566"/>
  </r>
  <r>
    <x v="17"/>
    <x v="25"/>
    <x v="1"/>
    <n v="248"/>
    <n v="0"/>
    <x v="567"/>
  </r>
  <r>
    <x v="18"/>
    <x v="25"/>
    <x v="1"/>
    <n v="253"/>
    <n v="0"/>
    <x v="568"/>
  </r>
  <r>
    <x v="19"/>
    <x v="25"/>
    <x v="1"/>
    <n v="258"/>
    <n v="0"/>
    <x v="569"/>
  </r>
  <r>
    <x v="20"/>
    <x v="25"/>
    <x v="1"/>
    <n v="263"/>
    <n v="0"/>
    <x v="570"/>
  </r>
  <r>
    <x v="21"/>
    <x v="25"/>
    <x v="1"/>
    <n v="268"/>
    <n v="0"/>
    <x v="571"/>
  </r>
  <r>
    <x v="22"/>
    <x v="25"/>
    <x v="1"/>
    <n v="273"/>
    <n v="0"/>
    <x v="572"/>
  </r>
  <r>
    <x v="0"/>
    <x v="26"/>
    <x v="5"/>
    <n v="14765"/>
    <n v="0.73457500846596679"/>
    <x v="573"/>
  </r>
  <r>
    <x v="1"/>
    <x v="26"/>
    <x v="5"/>
    <n v="15258"/>
    <n v="0"/>
    <x v="574"/>
  </r>
  <r>
    <x v="2"/>
    <x v="26"/>
    <x v="5"/>
    <n v="15751"/>
    <n v="0"/>
    <x v="575"/>
  </r>
  <r>
    <x v="3"/>
    <x v="26"/>
    <x v="5"/>
    <n v="16244"/>
    <n v="0"/>
    <x v="576"/>
  </r>
  <r>
    <x v="4"/>
    <x v="26"/>
    <x v="5"/>
    <n v="16737"/>
    <n v="0"/>
    <x v="577"/>
  </r>
  <r>
    <x v="5"/>
    <x v="26"/>
    <x v="5"/>
    <n v="17230"/>
    <n v="0"/>
    <x v="578"/>
  </r>
  <r>
    <x v="6"/>
    <x v="26"/>
    <x v="5"/>
    <n v="17723"/>
    <n v="0"/>
    <x v="579"/>
  </r>
  <r>
    <x v="7"/>
    <x v="26"/>
    <x v="5"/>
    <n v="18216"/>
    <n v="0"/>
    <x v="580"/>
  </r>
  <r>
    <x v="8"/>
    <x v="26"/>
    <x v="5"/>
    <n v="18709"/>
    <n v="0"/>
    <x v="581"/>
  </r>
  <r>
    <x v="9"/>
    <x v="26"/>
    <x v="5"/>
    <n v="19202"/>
    <n v="0"/>
    <x v="582"/>
  </r>
  <r>
    <x v="10"/>
    <x v="26"/>
    <x v="5"/>
    <n v="19695"/>
    <n v="0"/>
    <x v="583"/>
  </r>
  <r>
    <x v="11"/>
    <x v="26"/>
    <x v="5"/>
    <n v="20188"/>
    <n v="0"/>
    <x v="584"/>
  </r>
  <r>
    <x v="12"/>
    <x v="26"/>
    <x v="5"/>
    <n v="20681"/>
    <n v="0"/>
    <x v="585"/>
  </r>
  <r>
    <x v="13"/>
    <x v="26"/>
    <x v="5"/>
    <n v="21174"/>
    <n v="0"/>
    <x v="586"/>
  </r>
  <r>
    <x v="14"/>
    <x v="26"/>
    <x v="5"/>
    <n v="21667"/>
    <n v="0"/>
    <x v="587"/>
  </r>
  <r>
    <x v="15"/>
    <x v="26"/>
    <x v="5"/>
    <n v="22160"/>
    <n v="0"/>
    <x v="588"/>
  </r>
  <r>
    <x v="16"/>
    <x v="26"/>
    <x v="5"/>
    <n v="22653"/>
    <n v="0"/>
    <x v="589"/>
  </r>
  <r>
    <x v="17"/>
    <x v="26"/>
    <x v="5"/>
    <n v="23146"/>
    <n v="0"/>
    <x v="590"/>
  </r>
  <r>
    <x v="18"/>
    <x v="26"/>
    <x v="5"/>
    <n v="23639"/>
    <n v="0"/>
    <x v="591"/>
  </r>
  <r>
    <x v="19"/>
    <x v="26"/>
    <x v="5"/>
    <n v="24132"/>
    <n v="0"/>
    <x v="592"/>
  </r>
  <r>
    <x v="20"/>
    <x v="26"/>
    <x v="5"/>
    <n v="24625"/>
    <n v="0"/>
    <x v="593"/>
  </r>
  <r>
    <x v="21"/>
    <x v="26"/>
    <x v="5"/>
    <n v="25118"/>
    <n v="0"/>
    <x v="594"/>
  </r>
  <r>
    <x v="22"/>
    <x v="26"/>
    <x v="5"/>
    <n v="25611"/>
    <n v="0"/>
    <x v="595"/>
  </r>
  <r>
    <x v="0"/>
    <x v="27"/>
    <x v="5"/>
    <n v="1215"/>
    <n v="0.54320987654320985"/>
    <x v="596"/>
  </r>
  <r>
    <x v="1"/>
    <x v="27"/>
    <x v="5"/>
    <n v="1245"/>
    <n v="0"/>
    <x v="597"/>
  </r>
  <r>
    <x v="2"/>
    <x v="27"/>
    <x v="5"/>
    <n v="1275"/>
    <n v="0"/>
    <x v="598"/>
  </r>
  <r>
    <x v="3"/>
    <x v="27"/>
    <x v="5"/>
    <n v="1305"/>
    <n v="0"/>
    <x v="599"/>
  </r>
  <r>
    <x v="4"/>
    <x v="27"/>
    <x v="5"/>
    <n v="1335"/>
    <n v="0"/>
    <x v="600"/>
  </r>
  <r>
    <x v="5"/>
    <x v="27"/>
    <x v="5"/>
    <n v="1365"/>
    <n v="0"/>
    <x v="601"/>
  </r>
  <r>
    <x v="6"/>
    <x v="27"/>
    <x v="5"/>
    <n v="1395"/>
    <n v="0"/>
    <x v="602"/>
  </r>
  <r>
    <x v="7"/>
    <x v="27"/>
    <x v="5"/>
    <n v="1425"/>
    <n v="0"/>
    <x v="603"/>
  </r>
  <r>
    <x v="8"/>
    <x v="27"/>
    <x v="5"/>
    <n v="1455"/>
    <n v="0"/>
    <x v="604"/>
  </r>
  <r>
    <x v="9"/>
    <x v="27"/>
    <x v="5"/>
    <n v="1485"/>
    <n v="0"/>
    <x v="605"/>
  </r>
  <r>
    <x v="10"/>
    <x v="27"/>
    <x v="5"/>
    <n v="1515"/>
    <n v="0"/>
    <x v="606"/>
  </r>
  <r>
    <x v="11"/>
    <x v="27"/>
    <x v="5"/>
    <n v="1545"/>
    <n v="0"/>
    <x v="607"/>
  </r>
  <r>
    <x v="12"/>
    <x v="27"/>
    <x v="5"/>
    <n v="1575"/>
    <n v="0"/>
    <x v="608"/>
  </r>
  <r>
    <x v="13"/>
    <x v="27"/>
    <x v="5"/>
    <n v="1605"/>
    <n v="0"/>
    <x v="609"/>
  </r>
  <r>
    <x v="14"/>
    <x v="27"/>
    <x v="5"/>
    <n v="1635"/>
    <n v="0"/>
    <x v="610"/>
  </r>
  <r>
    <x v="15"/>
    <x v="27"/>
    <x v="5"/>
    <n v="1665"/>
    <n v="0"/>
    <x v="611"/>
  </r>
  <r>
    <x v="16"/>
    <x v="27"/>
    <x v="5"/>
    <n v="1695"/>
    <n v="0"/>
    <x v="612"/>
  </r>
  <r>
    <x v="17"/>
    <x v="27"/>
    <x v="5"/>
    <n v="1725"/>
    <n v="0"/>
    <x v="613"/>
  </r>
  <r>
    <x v="18"/>
    <x v="27"/>
    <x v="5"/>
    <n v="1755"/>
    <n v="0"/>
    <x v="614"/>
  </r>
  <r>
    <x v="19"/>
    <x v="27"/>
    <x v="5"/>
    <n v="1785"/>
    <n v="0"/>
    <x v="615"/>
  </r>
  <r>
    <x v="20"/>
    <x v="27"/>
    <x v="5"/>
    <n v="1815"/>
    <n v="0"/>
    <x v="616"/>
  </r>
  <r>
    <x v="21"/>
    <x v="27"/>
    <x v="5"/>
    <n v="1845"/>
    <n v="0"/>
    <x v="617"/>
  </r>
  <r>
    <x v="22"/>
    <x v="27"/>
    <x v="5"/>
    <n v="1875"/>
    <n v="0"/>
    <x v="618"/>
  </r>
  <r>
    <x v="0"/>
    <x v="28"/>
    <x v="2"/>
    <n v="4931"/>
    <n v="0.67369701886027178"/>
    <x v="619"/>
  </r>
  <r>
    <x v="1"/>
    <x v="28"/>
    <x v="2"/>
    <n v="5082"/>
    <n v="0"/>
    <x v="620"/>
  </r>
  <r>
    <x v="2"/>
    <x v="28"/>
    <x v="2"/>
    <n v="5233"/>
    <n v="0"/>
    <x v="621"/>
  </r>
  <r>
    <x v="3"/>
    <x v="28"/>
    <x v="2"/>
    <n v="5384"/>
    <n v="0"/>
    <x v="622"/>
  </r>
  <r>
    <x v="4"/>
    <x v="28"/>
    <x v="2"/>
    <n v="5535"/>
    <n v="0"/>
    <x v="623"/>
  </r>
  <r>
    <x v="5"/>
    <x v="28"/>
    <x v="2"/>
    <n v="5686"/>
    <n v="0"/>
    <x v="624"/>
  </r>
  <r>
    <x v="6"/>
    <x v="28"/>
    <x v="2"/>
    <n v="5837"/>
    <n v="0"/>
    <x v="625"/>
  </r>
  <r>
    <x v="7"/>
    <x v="28"/>
    <x v="2"/>
    <n v="5988"/>
    <n v="0"/>
    <x v="626"/>
  </r>
  <r>
    <x v="8"/>
    <x v="28"/>
    <x v="2"/>
    <n v="6139"/>
    <n v="0"/>
    <x v="627"/>
  </r>
  <r>
    <x v="9"/>
    <x v="28"/>
    <x v="2"/>
    <n v="6290"/>
    <n v="0"/>
    <x v="628"/>
  </r>
  <r>
    <x v="10"/>
    <x v="28"/>
    <x v="2"/>
    <n v="6441"/>
    <n v="0"/>
    <x v="629"/>
  </r>
  <r>
    <x v="11"/>
    <x v="28"/>
    <x v="2"/>
    <n v="6592"/>
    <n v="0"/>
    <x v="630"/>
  </r>
  <r>
    <x v="12"/>
    <x v="28"/>
    <x v="2"/>
    <n v="6743"/>
    <n v="0"/>
    <x v="631"/>
  </r>
  <r>
    <x v="13"/>
    <x v="28"/>
    <x v="2"/>
    <n v="6894"/>
    <n v="0"/>
    <x v="632"/>
  </r>
  <r>
    <x v="14"/>
    <x v="28"/>
    <x v="2"/>
    <n v="7045"/>
    <n v="0"/>
    <x v="633"/>
  </r>
  <r>
    <x v="15"/>
    <x v="28"/>
    <x v="2"/>
    <n v="7196"/>
    <n v="0"/>
    <x v="634"/>
  </r>
  <r>
    <x v="16"/>
    <x v="28"/>
    <x v="2"/>
    <n v="7347"/>
    <n v="0"/>
    <x v="635"/>
  </r>
  <r>
    <x v="17"/>
    <x v="28"/>
    <x v="2"/>
    <n v="7498"/>
    <n v="0"/>
    <x v="636"/>
  </r>
  <r>
    <x v="18"/>
    <x v="28"/>
    <x v="2"/>
    <n v="7649"/>
    <n v="0"/>
    <x v="637"/>
  </r>
  <r>
    <x v="19"/>
    <x v="28"/>
    <x v="2"/>
    <n v="7800"/>
    <n v="0"/>
    <x v="638"/>
  </r>
  <r>
    <x v="20"/>
    <x v="28"/>
    <x v="2"/>
    <n v="7951"/>
    <n v="0"/>
    <x v="639"/>
  </r>
  <r>
    <x v="21"/>
    <x v="28"/>
    <x v="2"/>
    <n v="8102"/>
    <n v="0"/>
    <x v="640"/>
  </r>
  <r>
    <x v="22"/>
    <x v="28"/>
    <x v="2"/>
    <n v="8253"/>
    <n v="0"/>
    <x v="641"/>
  </r>
  <r>
    <x v="0"/>
    <x v="29"/>
    <x v="5"/>
    <n v="427"/>
    <n v="0.72131147540983609"/>
    <x v="642"/>
  </r>
  <r>
    <x v="1"/>
    <x v="29"/>
    <x v="5"/>
    <n v="441"/>
    <n v="0"/>
    <x v="643"/>
  </r>
  <r>
    <x v="2"/>
    <x v="29"/>
    <x v="5"/>
    <n v="455"/>
    <n v="0"/>
    <x v="644"/>
  </r>
  <r>
    <x v="3"/>
    <x v="29"/>
    <x v="5"/>
    <n v="469"/>
    <n v="0"/>
    <x v="645"/>
  </r>
  <r>
    <x v="4"/>
    <x v="29"/>
    <x v="5"/>
    <n v="483"/>
    <n v="0"/>
    <x v="646"/>
  </r>
  <r>
    <x v="5"/>
    <x v="29"/>
    <x v="5"/>
    <n v="497"/>
    <n v="0"/>
    <x v="647"/>
  </r>
  <r>
    <x v="6"/>
    <x v="29"/>
    <x v="5"/>
    <n v="511"/>
    <n v="0"/>
    <x v="648"/>
  </r>
  <r>
    <x v="7"/>
    <x v="29"/>
    <x v="5"/>
    <n v="525"/>
    <n v="0"/>
    <x v="649"/>
  </r>
  <r>
    <x v="8"/>
    <x v="29"/>
    <x v="5"/>
    <n v="539"/>
    <n v="0"/>
    <x v="650"/>
  </r>
  <r>
    <x v="9"/>
    <x v="29"/>
    <x v="5"/>
    <n v="553"/>
    <n v="0"/>
    <x v="651"/>
  </r>
  <r>
    <x v="10"/>
    <x v="29"/>
    <x v="5"/>
    <n v="567"/>
    <n v="0"/>
    <x v="652"/>
  </r>
  <r>
    <x v="11"/>
    <x v="29"/>
    <x v="5"/>
    <n v="581"/>
    <n v="0"/>
    <x v="653"/>
  </r>
  <r>
    <x v="12"/>
    <x v="29"/>
    <x v="5"/>
    <n v="595"/>
    <n v="0"/>
    <x v="654"/>
  </r>
  <r>
    <x v="13"/>
    <x v="29"/>
    <x v="5"/>
    <n v="609"/>
    <n v="0"/>
    <x v="655"/>
  </r>
  <r>
    <x v="14"/>
    <x v="29"/>
    <x v="5"/>
    <n v="623"/>
    <n v="0"/>
    <x v="656"/>
  </r>
  <r>
    <x v="15"/>
    <x v="29"/>
    <x v="5"/>
    <n v="637"/>
    <n v="0"/>
    <x v="657"/>
  </r>
  <r>
    <x v="16"/>
    <x v="29"/>
    <x v="5"/>
    <n v="651"/>
    <n v="0"/>
    <x v="658"/>
  </r>
  <r>
    <x v="17"/>
    <x v="29"/>
    <x v="5"/>
    <n v="665"/>
    <n v="0"/>
    <x v="659"/>
  </r>
  <r>
    <x v="18"/>
    <x v="29"/>
    <x v="5"/>
    <n v="679"/>
    <n v="0"/>
    <x v="660"/>
  </r>
  <r>
    <x v="19"/>
    <x v="29"/>
    <x v="5"/>
    <n v="693"/>
    <n v="0"/>
    <x v="661"/>
  </r>
  <r>
    <x v="20"/>
    <x v="29"/>
    <x v="5"/>
    <n v="707"/>
    <n v="0"/>
    <x v="662"/>
  </r>
  <r>
    <x v="21"/>
    <x v="29"/>
    <x v="5"/>
    <n v="721"/>
    <n v="0"/>
    <x v="663"/>
  </r>
  <r>
    <x v="22"/>
    <x v="29"/>
    <x v="5"/>
    <n v="735"/>
    <n v="0"/>
    <x v="6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8:J32" firstHeaderRow="0" firstDataRow="1" firstDataCol="1" rowPageCount="2" colPageCount="1"/>
  <pivotFields count="6">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showAll="0">
      <items count="7">
        <item x="3"/>
        <item x="2"/>
        <item x="1"/>
        <item x="5"/>
        <item x="0"/>
        <item x="4"/>
        <item t="default"/>
      </items>
    </pivotField>
    <pivotField dataField="1" showAll="0"/>
    <pivotField numFmtId="10" showAll="0"/>
    <pivotField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pageFields count="2">
    <pageField fld="2" hier="-1"/>
    <pageField fld="1" hier="-1"/>
  </pageFields>
  <dataFields count="2">
    <dataField name="Sum of Milk" fld="3" baseField="0" baseItem="0"/>
    <dataField name="Sum of Milk2" fld="3" showDataAs="percentDiff" baseField="0"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yrealy milk production tre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67:B91" firstHeaderRow="1" firstDataRow="1" firstDataCol="1" rowPageCount="2" colPageCount="1"/>
  <pivotFields count="6">
    <pivotField axis="axisRow" showAll="0" sortType="ascending">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multipleItemSelectionAllowed="1" showAll="0">
      <items count="7">
        <item x="3"/>
        <item h="1" x="2"/>
        <item h="1" x="1"/>
        <item h="1" x="5"/>
        <item h="1" x="0"/>
        <item h="1" x="4"/>
        <item t="default"/>
      </items>
    </pivotField>
    <pivotField dataField="1" showAll="0"/>
    <pivotField numFmtId="10" showAll="0"/>
    <pivotField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2">
    <pageField fld="1" hier="-1"/>
    <pageField fld="2" hier="-1"/>
  </pageFields>
  <dataFields count="1">
    <dataField name="Total Milk Production"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milk produc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8:O9" firstHeaderRow="1" firstDataRow="1" firstDataCol="0" rowPageCount="3" colPageCount="1"/>
  <pivotFields count="6">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multipleItemSelectionAllowed="1" showAll="0">
      <items count="7">
        <item x="3"/>
        <item h="1" x="2"/>
        <item h="1" x="1"/>
        <item h="1" x="5"/>
        <item h="1" x="0"/>
        <item h="1" x="4"/>
        <item t="default"/>
      </items>
    </pivotField>
    <pivotField dataField="1" showAll="0"/>
    <pivotField numFmtId="2" showAll="0"/>
    <pivotField showAll="0"/>
  </pivotFields>
  <rowItems count="1">
    <i/>
  </rowItems>
  <colItems count="1">
    <i/>
  </colItems>
  <pageFields count="3">
    <pageField fld="0" item="22" hier="-1"/>
    <pageField fld="1" hier="-1"/>
    <pageField fld="2" hier="-1"/>
  </pageFields>
  <dataFields count="1">
    <dataField name="Sum of Milk" fld="3" baseField="0" baseItem="0"/>
  </dataFields>
  <formats count="1">
    <format dxfId="5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50:C57" firstHeaderRow="0" firstDataRow="1" firstDataCol="1" rowPageCount="1" colPageCount="1"/>
  <pivotFields count="6">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Row" showAll="0" sortType="descending">
      <items count="7">
        <item x="3"/>
        <item x="2"/>
        <item x="1"/>
        <item x="5"/>
        <item x="0"/>
        <item x="4"/>
        <item t="default"/>
      </items>
      <autoSortScope>
        <pivotArea dataOnly="0" outline="0" fieldPosition="0">
          <references count="1">
            <reference field="4294967294" count="1" selected="0">
              <x v="0"/>
            </reference>
          </references>
        </pivotArea>
      </autoSortScope>
    </pivotField>
    <pivotField dataField="1" showAll="0"/>
    <pivotField dataField="1" numFmtId="10" showAll="0"/>
    <pivotField showAll="0" defaultSubtotal="0"/>
  </pivotFields>
  <rowFields count="1">
    <field x="2"/>
  </rowFields>
  <rowItems count="7">
    <i>
      <x v="3"/>
    </i>
    <i>
      <x v="4"/>
    </i>
    <i>
      <x v="5"/>
    </i>
    <i>
      <x v="1"/>
    </i>
    <i>
      <x/>
    </i>
    <i>
      <x v="2"/>
    </i>
    <i t="grand">
      <x/>
    </i>
  </rowItems>
  <colFields count="1">
    <field x="-2"/>
  </colFields>
  <colItems count="2">
    <i>
      <x/>
    </i>
    <i i="1">
      <x v="1"/>
    </i>
  </colItems>
  <pageFields count="1">
    <pageField fld="0" item="22" hier="-1"/>
  </pageFields>
  <dataFields count="2">
    <dataField name="Sum of Milk" fld="3" baseField="0" baseItem="0"/>
    <dataField name="Average of Total Growth" fld="4" subtotal="average" baseField="2" baseItem="0"/>
  </dataFields>
  <formats count="6">
    <format dxfId="58">
      <pivotArea collapsedLevelsAreSubtotals="1" fieldPosition="0">
        <references count="2">
          <reference field="4294967294" count="1" selected="0">
            <x v="1"/>
          </reference>
          <reference field="2" count="0"/>
        </references>
      </pivotArea>
    </format>
    <format dxfId="57">
      <pivotArea collapsedLevelsAreSubtotals="1" fieldPosition="0">
        <references count="2">
          <reference field="4294967294" count="1" selected="0">
            <x v="1"/>
          </reference>
          <reference field="2" count="0"/>
        </references>
      </pivotArea>
    </format>
    <format dxfId="56">
      <pivotArea collapsedLevelsAreSubtotals="1" fieldPosition="0">
        <references count="2">
          <reference field="4294967294" count="1" selected="0">
            <x v="1"/>
          </reference>
          <reference field="2" count="0"/>
        </references>
      </pivotArea>
    </format>
    <format dxfId="55">
      <pivotArea field="2" grandRow="1" outline="0" collapsedLevelsAreSubtotals="1" axis="axisRow" fieldPosition="0">
        <references count="1">
          <reference field="4294967294" count="1" selected="0">
            <x v="1"/>
          </reference>
        </references>
      </pivotArea>
    </format>
    <format dxfId="54">
      <pivotArea field="2" grandRow="1" outline="0" collapsedLevelsAreSubtotals="1" axis="axisRow" fieldPosition="0">
        <references count="1">
          <reference field="4294967294" count="1" selected="0">
            <x v="1"/>
          </reference>
        </references>
      </pivotArea>
    </format>
    <format dxfId="53">
      <pivotArea field="2" grandRow="1" outline="0" collapsedLevelsAreSubtotals="1" axis="axisRow"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g annual growth"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16:P40" firstHeaderRow="1" firstDataRow="1" firstDataCol="1" rowPageCount="2" colPageCount="1"/>
  <pivotFields count="6">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multipleItemSelectionAllowed="1" showAll="0">
      <items count="7">
        <item x="3"/>
        <item h="1" x="2"/>
        <item h="1" x="1"/>
        <item h="1" x="5"/>
        <item h="1" x="0"/>
        <item h="1" x="4"/>
        <item t="default"/>
      </items>
    </pivotField>
    <pivotField dataField="1" showAll="0"/>
    <pivotField numFmtId="2" showAll="0"/>
    <pivotField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2">
    <pageField fld="1" hier="-1"/>
    <pageField fld="2" hier="-1"/>
  </pageFields>
  <dataFields count="1">
    <dataField name="Sum of Milk" fld="3" showDataAs="percentDiff" baseField="0"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national shar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S16:S17" firstHeaderRow="1" firstDataRow="1" firstDataCol="0" rowPageCount="3" colPageCount="1"/>
  <pivotFields count="6">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showAll="0">
      <items count="7">
        <item x="3"/>
        <item x="2"/>
        <item x="1"/>
        <item x="5"/>
        <item x="0"/>
        <item x="4"/>
        <item t="default"/>
      </items>
    </pivotField>
    <pivotField dataField="1" showAll="0"/>
    <pivotField numFmtId="2" showAll="0"/>
    <pivotField showAll="0"/>
  </pivotFields>
  <rowItems count="1">
    <i/>
  </rowItems>
  <colItems count="1">
    <i/>
  </colItems>
  <pageFields count="3">
    <pageField fld="1" hier="-1"/>
    <pageField fld="0" item="22" hier="-1"/>
    <pageField fld="2" hier="-1"/>
  </pageFields>
  <dataFields count="1">
    <dataField name="Sum of Milk" fld="3" baseField="0" baseItem="0"/>
  </dataFields>
  <formats count="1">
    <format dxfId="5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B6:AC13" firstHeaderRow="1" firstDataRow="1" firstDataCol="1" rowPageCount="1" colPageCount="1"/>
  <pivotFields count="6">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Row" showAll="0" sortType="descending">
      <items count="7">
        <item x="3"/>
        <item x="2"/>
        <item x="1"/>
        <item x="5"/>
        <item x="0"/>
        <item x="4"/>
        <item t="default"/>
      </items>
      <autoSortScope>
        <pivotArea dataOnly="0" outline="0" fieldPosition="0">
          <references count="1">
            <reference field="4294967294" count="1" selected="0">
              <x v="0"/>
            </reference>
          </references>
        </pivotArea>
      </autoSortScope>
    </pivotField>
    <pivotField dataField="1" showAll="0"/>
    <pivotField numFmtId="2" showAll="0"/>
    <pivotField showAll="0"/>
  </pivotFields>
  <rowFields count="1">
    <field x="2"/>
  </rowFields>
  <rowItems count="7">
    <i>
      <x v="3"/>
    </i>
    <i>
      <x v="4"/>
    </i>
    <i>
      <x v="5"/>
    </i>
    <i>
      <x v="1"/>
    </i>
    <i>
      <x/>
    </i>
    <i>
      <x v="2"/>
    </i>
    <i t="grand">
      <x/>
    </i>
  </rowItems>
  <colItems count="1">
    <i/>
  </colItems>
  <pageFields count="1">
    <pageField fld="0" item="22" hier="-1"/>
  </pageFields>
  <dataFields count="1">
    <dataField name="Sum of Mil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rank"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A6:B8" firstHeaderRow="1" firstDataRow="1" firstDataCol="1" rowPageCount="2" colPageCount="1"/>
  <pivotFields count="6">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axis="axisRow" showAll="0" sortType="de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axis="axisPage" multipleItemSelectionAllowed="1" showAll="0">
      <items count="7">
        <item x="3"/>
        <item h="1" x="2"/>
        <item h="1" x="1"/>
        <item h="1" x="5"/>
        <item h="1" x="0"/>
        <item h="1" x="4"/>
        <item t="default"/>
      </items>
    </pivotField>
    <pivotField dataField="1" showAll="0"/>
    <pivotField numFmtId="10" showAll="0"/>
    <pivotField showAll="0" defaultSubtotal="0"/>
  </pivotFields>
  <rowFields count="1">
    <field x="1"/>
  </rowFields>
  <rowItems count="2">
    <i>
      <x v="14"/>
    </i>
    <i>
      <x v="4"/>
    </i>
  </rowItems>
  <colItems count="1">
    <i/>
  </colItems>
  <pageFields count="2">
    <pageField fld="0" item="22" hier="-1"/>
    <pageField fld="2" hier="-1"/>
  </pageFields>
  <dataFields count="1">
    <dataField name="Sum of Mil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regional concentra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V5:W8" firstHeaderRow="1" firstDataRow="1" firstDataCol="1" rowPageCount="2" colPageCount="1"/>
  <pivotFields count="6">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axis="axisRow" showAll="0" sortType="de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axis="axisPage" multipleItemSelectionAllowed="1" showAll="0">
      <items count="7">
        <item x="3"/>
        <item h="1" x="2"/>
        <item h="1" x="1"/>
        <item h="1" x="5"/>
        <item h="1" x="0"/>
        <item h="1" x="4"/>
        <item t="default"/>
      </items>
    </pivotField>
    <pivotField dataField="1" showAll="0"/>
    <pivotField numFmtId="2" showAll="0"/>
    <pivotField showAll="0"/>
  </pivotFields>
  <rowFields count="1">
    <field x="1"/>
  </rowFields>
  <rowItems count="3">
    <i>
      <x v="14"/>
    </i>
    <i>
      <x v="4"/>
    </i>
    <i t="grand">
      <x/>
    </i>
  </rowItems>
  <colItems count="1">
    <i/>
  </colItems>
  <pageFields count="2">
    <pageField fld="0" item="22" hier="-1"/>
    <pageField fld="2" hier="-1"/>
  </pageFields>
  <dataFields count="1">
    <dataField name="Sum of Milk"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Emerging States Highest Growth"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A33:AB36" firstHeaderRow="1" firstDataRow="1" firstDataCol="1" rowPageCount="1" colPageCount="1"/>
  <pivotFields count="6">
    <pivotField showAll="0"/>
    <pivotField axis="axisRow" showAll="0" measureFilter="1" sortType="a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axis="axisPage" multipleItemSelectionAllowed="1" showAll="0">
      <items count="7">
        <item x="3"/>
        <item h="1" x="2"/>
        <item h="1" x="1"/>
        <item h="1" x="5"/>
        <item h="1" x="0"/>
        <item h="1" x="4"/>
        <item t="default"/>
      </items>
    </pivotField>
    <pivotField showAll="0"/>
    <pivotField dataField="1" numFmtId="2" showAll="0"/>
    <pivotField showAll="0"/>
  </pivotFields>
  <rowFields count="1">
    <field x="1"/>
  </rowFields>
  <rowItems count="3">
    <i>
      <x v="4"/>
    </i>
    <i>
      <x v="14"/>
    </i>
    <i t="grand">
      <x/>
    </i>
  </rowItems>
  <colItems count="1">
    <i/>
  </colItems>
  <pageFields count="1">
    <pageField fld="2" hier="-1"/>
  </pageFields>
  <dataFields count="1">
    <dataField name="Total Growth 2001-24" fld="4" baseField="1" baseItem="14"/>
  </dataFields>
  <formats count="2">
    <format dxfId="61">
      <pivotArea collapsedLevelsAreSubtotals="1" fieldPosition="0">
        <references count="1">
          <reference field="1" count="10">
            <x v="3"/>
            <x v="4"/>
            <x v="7"/>
            <x v="8"/>
            <x v="11"/>
            <x v="12"/>
            <x v="14"/>
            <x v="15"/>
            <x v="18"/>
            <x v="20"/>
          </reference>
        </references>
      </pivotArea>
    </format>
    <format dxfId="60">
      <pivotArea collapsedLevelsAreSubtotals="1" fieldPosition="0">
        <references count="1">
          <reference field="1" count="20">
            <x v="0"/>
            <x v="1"/>
            <x v="2"/>
            <x v="5"/>
            <x v="6"/>
            <x v="9"/>
            <x v="10"/>
            <x v="13"/>
            <x v="16"/>
            <x v="17"/>
            <x v="19"/>
            <x v="21"/>
            <x v="22"/>
            <x v="23"/>
            <x v="24"/>
            <x v="25"/>
            <x v="26"/>
            <x v="27"/>
            <x v="28"/>
            <x v="29"/>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growth v 5 year rolling"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05:C129" firstHeaderRow="0" firstDataRow="1" firstDataCol="1" rowPageCount="2" colPageCount="1"/>
  <pivotFields count="6">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multipleItemSelectionAllowed="1" showAll="0">
      <items count="7">
        <item x="3"/>
        <item h="1" x="2"/>
        <item h="1" x="1"/>
        <item h="1" x="5"/>
        <item h="1" x="0"/>
        <item h="1" x="4"/>
        <item t="default"/>
      </items>
    </pivotField>
    <pivotField dataField="1" showAll="0"/>
    <pivotField numFmtId="10" showAll="0"/>
    <pivotField dataField="1" showAll="0" defaultSubtotal="0">
      <items count="665">
        <item x="0"/>
        <item x="389"/>
        <item x="388"/>
        <item x="387"/>
        <item x="386"/>
        <item x="390"/>
        <item x="381"/>
        <item x="385"/>
        <item x="382"/>
        <item x="383"/>
        <item x="384"/>
        <item x="391"/>
        <item x="392"/>
        <item x="393"/>
        <item x="394"/>
        <item x="395"/>
        <item x="32"/>
        <item x="396"/>
        <item x="397"/>
        <item x="489"/>
        <item x="490"/>
        <item x="491"/>
        <item x="492"/>
        <item x="493"/>
        <item x="31"/>
        <item x="494"/>
        <item x="495"/>
        <item x="496"/>
        <item x="497"/>
        <item x="33"/>
        <item x="498"/>
        <item x="499"/>
        <item x="500"/>
        <item x="501"/>
        <item x="398"/>
        <item x="380"/>
        <item x="30"/>
        <item x="502"/>
        <item x="34"/>
        <item x="503"/>
        <item x="504"/>
        <item x="29"/>
        <item x="35"/>
        <item x="399"/>
        <item x="28"/>
        <item x="36"/>
        <item x="43"/>
        <item x="27"/>
        <item x="400"/>
        <item x="25"/>
        <item x="379"/>
        <item x="26"/>
        <item x="37"/>
        <item x="42"/>
        <item x="38"/>
        <item x="41"/>
        <item x="117"/>
        <item x="40"/>
        <item x="401"/>
        <item x="39"/>
        <item x="118"/>
        <item x="130"/>
        <item x="415"/>
        <item x="129"/>
        <item x="119"/>
        <item x="120"/>
        <item x="121"/>
        <item x="128"/>
        <item x="122"/>
        <item x="123"/>
        <item x="127"/>
        <item x="414"/>
        <item x="131"/>
        <item x="124"/>
        <item x="126"/>
        <item x="132"/>
        <item x="125"/>
        <item x="405"/>
        <item x="404"/>
        <item x="406"/>
        <item x="402"/>
        <item x="413"/>
        <item x="407"/>
        <item x="403"/>
        <item x="363"/>
        <item x="362"/>
        <item x="412"/>
        <item x="361"/>
        <item x="364"/>
        <item x="360"/>
        <item x="365"/>
        <item x="343"/>
        <item x="366"/>
        <item x="411"/>
        <item x="344"/>
        <item x="359"/>
        <item x="345"/>
        <item x="367"/>
        <item x="378"/>
        <item x="346"/>
        <item x="410"/>
        <item x="347"/>
        <item x="348"/>
        <item x="409"/>
        <item x="349"/>
        <item x="408"/>
        <item x="350"/>
        <item x="358"/>
        <item x="351"/>
        <item x="368"/>
        <item x="352"/>
        <item x="353"/>
        <item x="354"/>
        <item x="357"/>
        <item x="355"/>
        <item x="369"/>
        <item x="370"/>
        <item x="356"/>
        <item x="371"/>
        <item x="372"/>
        <item x="373"/>
        <item x="374"/>
        <item x="375"/>
        <item x="376"/>
        <item x="377"/>
        <item x="44"/>
        <item x="554"/>
        <item x="555"/>
        <item x="556"/>
        <item x="557"/>
        <item x="558"/>
        <item x="559"/>
        <item x="560"/>
        <item x="561"/>
        <item x="562"/>
        <item x="563"/>
        <item x="564"/>
        <item x="565"/>
        <item x="416"/>
        <item x="566"/>
        <item x="567"/>
        <item x="568"/>
        <item x="569"/>
        <item x="570"/>
        <item x="571"/>
        <item x="572"/>
        <item x="45"/>
        <item x="417"/>
        <item x="46"/>
        <item x="646"/>
        <item x="116"/>
        <item x="647"/>
        <item x="648"/>
        <item x="649"/>
        <item x="650"/>
        <item x="651"/>
        <item x="652"/>
        <item x="653"/>
        <item x="654"/>
        <item x="47"/>
        <item x="655"/>
        <item x="418"/>
        <item x="656"/>
        <item x="657"/>
        <item x="658"/>
        <item x="659"/>
        <item x="660"/>
        <item x="661"/>
        <item x="662"/>
        <item x="663"/>
        <item x="664"/>
        <item x="48"/>
        <item x="49"/>
        <item x="50"/>
        <item x="51"/>
        <item x="52"/>
        <item x="53"/>
        <item x="54"/>
        <item x="55"/>
        <item x="56"/>
        <item x="57"/>
        <item x="183"/>
        <item x="94"/>
        <item x="58"/>
        <item x="95"/>
        <item x="59"/>
        <item x="96"/>
        <item x="419"/>
        <item x="115"/>
        <item x="60"/>
        <item x="184"/>
        <item x="61"/>
        <item x="97"/>
        <item x="62"/>
        <item x="98"/>
        <item x="185"/>
        <item x="63"/>
        <item x="99"/>
        <item x="64"/>
        <item x="186"/>
        <item x="65"/>
        <item x="187"/>
        <item x="100"/>
        <item x="66"/>
        <item x="188"/>
        <item x="505"/>
        <item x="101"/>
        <item x="189"/>
        <item x="190"/>
        <item x="102"/>
        <item x="191"/>
        <item x="420"/>
        <item x="229"/>
        <item x="192"/>
        <item x="103"/>
        <item x="193"/>
        <item x="230"/>
        <item x="421"/>
        <item x="104"/>
        <item x="114"/>
        <item x="194"/>
        <item x="133"/>
        <item x="105"/>
        <item x="195"/>
        <item x="600"/>
        <item x="231"/>
        <item x="601"/>
        <item x="106"/>
        <item x="196"/>
        <item x="602"/>
        <item x="422"/>
        <item x="67"/>
        <item x="603"/>
        <item x="107"/>
        <item x="232"/>
        <item x="604"/>
        <item x="206"/>
        <item x="197"/>
        <item x="207"/>
        <item x="228"/>
        <item x="233"/>
        <item x="488"/>
        <item x="605"/>
        <item x="208"/>
        <item x="606"/>
        <item x="423"/>
        <item x="198"/>
        <item x="209"/>
        <item x="234"/>
        <item x="205"/>
        <item x="108"/>
        <item x="607"/>
        <item x="210"/>
        <item x="204"/>
        <item x="199"/>
        <item x="608"/>
        <item x="424"/>
        <item x="235"/>
        <item x="211"/>
        <item x="113"/>
        <item x="609"/>
        <item x="203"/>
        <item x="200"/>
        <item x="109"/>
        <item x="610"/>
        <item x="212"/>
        <item x="236"/>
        <item x="202"/>
        <item x="425"/>
        <item x="213"/>
        <item x="611"/>
        <item x="214"/>
        <item x="201"/>
        <item x="237"/>
        <item x="612"/>
        <item x="426"/>
        <item x="110"/>
        <item x="613"/>
        <item x="427"/>
        <item x="238"/>
        <item x="215"/>
        <item x="614"/>
        <item x="227"/>
        <item x="68"/>
        <item x="615"/>
        <item x="428"/>
        <item x="239"/>
        <item x="616"/>
        <item x="111"/>
        <item x="240"/>
        <item x="429"/>
        <item x="617"/>
        <item x="618"/>
        <item x="216"/>
        <item x="430"/>
        <item x="241"/>
        <item x="112"/>
        <item x="431"/>
        <item x="242"/>
        <item x="432"/>
        <item x="217"/>
        <item x="645"/>
        <item x="506"/>
        <item x="243"/>
        <item x="433"/>
        <item x="226"/>
        <item x="277"/>
        <item x="218"/>
        <item x="553"/>
        <item x="434"/>
        <item x="276"/>
        <item x="69"/>
        <item x="244"/>
        <item x="278"/>
        <item x="435"/>
        <item x="275"/>
        <item x="279"/>
        <item x="436"/>
        <item x="245"/>
        <item x="219"/>
        <item x="437"/>
        <item x="225"/>
        <item x="280"/>
        <item x="134"/>
        <item x="220"/>
        <item x="619"/>
        <item x="438"/>
        <item x="246"/>
        <item x="221"/>
        <item x="281"/>
        <item x="290"/>
        <item x="291"/>
        <item x="292"/>
        <item x="293"/>
        <item x="222"/>
        <item x="289"/>
        <item x="288"/>
        <item x="282"/>
        <item x="287"/>
        <item x="247"/>
        <item x="223"/>
        <item x="283"/>
        <item x="286"/>
        <item x="284"/>
        <item x="224"/>
        <item x="285"/>
        <item x="487"/>
        <item x="24"/>
        <item x="70"/>
        <item x="507"/>
        <item x="182"/>
        <item x="294"/>
        <item x="620"/>
        <item x="248"/>
        <item x="573"/>
        <item x="93"/>
        <item x="342"/>
        <item x="439"/>
        <item x="644"/>
        <item x="249"/>
        <item x="295"/>
        <item x="135"/>
        <item x="71"/>
        <item x="621"/>
        <item x="250"/>
        <item x="251"/>
        <item x="254"/>
        <item x="552"/>
        <item x="253"/>
        <item x="508"/>
        <item x="486"/>
        <item x="255"/>
        <item x="252"/>
        <item x="296"/>
        <item x="72"/>
        <item x="256"/>
        <item x="622"/>
        <item x="274"/>
        <item x="257"/>
        <item x="440"/>
        <item x="532"/>
        <item x="297"/>
        <item x="258"/>
        <item x="73"/>
        <item x="466"/>
        <item x="467"/>
        <item x="643"/>
        <item x="136"/>
        <item x="533"/>
        <item x="468"/>
        <item x="259"/>
        <item x="160"/>
        <item x="469"/>
        <item x="623"/>
        <item x="509"/>
        <item x="161"/>
        <item x="531"/>
        <item x="470"/>
        <item x="181"/>
        <item x="534"/>
        <item x="162"/>
        <item x="510"/>
        <item x="624"/>
        <item x="74"/>
        <item x="471"/>
        <item x="163"/>
        <item x="260"/>
        <item x="485"/>
        <item x="511"/>
        <item x="472"/>
        <item x="625"/>
        <item x="92"/>
        <item x="535"/>
        <item x="298"/>
        <item x="164"/>
        <item x="473"/>
        <item x="512"/>
        <item x="465"/>
        <item x="75"/>
        <item x="261"/>
        <item x="626"/>
        <item x="441"/>
        <item x="474"/>
        <item x="513"/>
        <item x="165"/>
        <item x="299"/>
        <item x="536"/>
        <item x="530"/>
        <item x="627"/>
        <item x="475"/>
        <item x="514"/>
        <item x="551"/>
        <item x="23"/>
        <item x="262"/>
        <item x="476"/>
        <item x="76"/>
        <item x="628"/>
        <item x="515"/>
        <item x="166"/>
        <item x="300"/>
        <item x="477"/>
        <item x="537"/>
        <item x="599"/>
        <item x="629"/>
        <item x="263"/>
        <item x="516"/>
        <item x="478"/>
        <item x="574"/>
        <item x="77"/>
        <item x="341"/>
        <item x="479"/>
        <item x="517"/>
        <item x="630"/>
        <item x="301"/>
        <item x="538"/>
        <item x="167"/>
        <item x="529"/>
        <item x="480"/>
        <item x="321"/>
        <item x="518"/>
        <item x="78"/>
        <item x="137"/>
        <item x="264"/>
        <item x="631"/>
        <item x="464"/>
        <item x="481"/>
        <item x="642"/>
        <item x="519"/>
        <item x="539"/>
        <item x="322"/>
        <item x="632"/>
        <item x="482"/>
        <item x="302"/>
        <item x="1"/>
        <item x="79"/>
        <item x="520"/>
        <item x="168"/>
        <item x="483"/>
        <item x="273"/>
        <item x="633"/>
        <item x="138"/>
        <item x="323"/>
        <item x="521"/>
        <item x="484"/>
        <item x="265"/>
        <item x="540"/>
        <item x="442"/>
        <item x="2"/>
        <item x="634"/>
        <item x="303"/>
        <item x="522"/>
        <item x="528"/>
        <item x="80"/>
        <item x="324"/>
        <item x="635"/>
        <item x="523"/>
        <item x="169"/>
        <item x="541"/>
        <item x="139"/>
        <item x="524"/>
        <item x="636"/>
        <item x="325"/>
        <item x="304"/>
        <item x="463"/>
        <item x="3"/>
        <item x="542"/>
        <item x="525"/>
        <item x="637"/>
        <item x="81"/>
        <item x="266"/>
        <item x="526"/>
        <item x="180"/>
        <item x="326"/>
        <item x="170"/>
        <item x="638"/>
        <item x="140"/>
        <item x="543"/>
        <item x="527"/>
        <item x="639"/>
        <item x="550"/>
        <item x="305"/>
        <item x="4"/>
        <item x="82"/>
        <item x="159"/>
        <item x="640"/>
        <item x="544"/>
        <item x="91"/>
        <item x="443"/>
        <item x="141"/>
        <item x="171"/>
        <item x="641"/>
        <item x="444"/>
        <item x="445"/>
        <item x="545"/>
        <item x="327"/>
        <item x="462"/>
        <item x="446"/>
        <item x="447"/>
        <item x="448"/>
        <item x="83"/>
        <item x="306"/>
        <item x="5"/>
        <item x="449"/>
        <item x="267"/>
        <item x="546"/>
        <item x="450"/>
        <item x="451"/>
        <item x="142"/>
        <item x="328"/>
        <item x="452"/>
        <item x="453"/>
        <item x="172"/>
        <item x="454"/>
        <item x="547"/>
        <item x="455"/>
        <item x="272"/>
        <item x="456"/>
        <item x="457"/>
        <item x="458"/>
        <item x="84"/>
        <item x="329"/>
        <item x="459"/>
        <item x="143"/>
        <item x="460"/>
        <item x="6"/>
        <item x="461"/>
        <item x="307"/>
        <item x="22"/>
        <item x="340"/>
        <item x="548"/>
        <item x="173"/>
        <item x="330"/>
        <item x="575"/>
        <item x="85"/>
        <item x="320"/>
        <item x="144"/>
        <item x="268"/>
        <item x="549"/>
        <item x="179"/>
        <item x="331"/>
        <item x="7"/>
        <item x="145"/>
        <item x="308"/>
        <item x="174"/>
        <item x="86"/>
        <item x="90"/>
        <item x="332"/>
        <item x="158"/>
        <item x="271"/>
        <item x="8"/>
        <item x="146"/>
        <item x="269"/>
        <item x="175"/>
        <item x="333"/>
        <item x="87"/>
        <item x="598"/>
        <item x="309"/>
        <item x="176"/>
        <item x="147"/>
        <item x="334"/>
        <item x="9"/>
        <item x="88"/>
        <item x="177"/>
        <item x="270"/>
        <item x="148"/>
        <item x="12"/>
        <item x="13"/>
        <item x="11"/>
        <item x="178"/>
        <item x="335"/>
        <item x="339"/>
        <item x="14"/>
        <item x="10"/>
        <item x="89"/>
        <item x="21"/>
        <item x="319"/>
        <item x="310"/>
        <item x="149"/>
        <item x="15"/>
        <item x="576"/>
        <item x="157"/>
        <item x="336"/>
        <item x="150"/>
        <item x="337"/>
        <item x="311"/>
        <item x="16"/>
        <item x="151"/>
        <item x="17"/>
        <item x="338"/>
        <item x="152"/>
        <item x="318"/>
        <item x="156"/>
        <item x="312"/>
        <item x="18"/>
        <item x="20"/>
        <item x="19"/>
        <item x="153"/>
        <item x="597"/>
        <item x="577"/>
        <item x="313"/>
        <item x="154"/>
        <item x="578"/>
        <item x="155"/>
        <item x="579"/>
        <item x="317"/>
        <item x="314"/>
        <item x="580"/>
        <item x="581"/>
        <item x="315"/>
        <item x="582"/>
        <item x="583"/>
        <item x="316"/>
        <item x="584"/>
        <item x="585"/>
        <item x="596"/>
        <item x="586"/>
        <item x="587"/>
        <item x="588"/>
        <item x="589"/>
        <item x="590"/>
        <item x="591"/>
        <item x="592"/>
        <item x="593"/>
        <item x="594"/>
        <item x="595"/>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pageFields count="2">
    <pageField fld="1" hier="-1"/>
    <pageField fld="2" hier="-1"/>
  </pageFields>
  <dataFields count="2">
    <dataField name="Annual Growth Rate (%)" fld="3" subtotal="average" showDataAs="percentDiff" baseField="0" baseItem="1048828" numFmtId="10"/>
    <dataField name="5 Year Rolling Avg Growth Rate (%)" fld="5" subtotal="average" showDataAs="percentDiff" baseField="0" baseItem="1048828"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States Share Pie Char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O56:P86" firstHeaderRow="1" firstDataRow="1" firstDataCol="1" rowPageCount="1" colPageCount="1"/>
  <pivotFields count="6">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axis="axisRow" showAll="0" sortType="de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showAll="0"/>
    <pivotField dataField="1" showAll="0"/>
    <pivotField numFmtId="2" showAll="0"/>
    <pivotField showAll="0"/>
  </pivotFields>
  <rowFields count="1">
    <field x="1"/>
  </rowFields>
  <rowItems count="30">
    <i>
      <x v="27"/>
    </i>
    <i>
      <x v="14"/>
    </i>
    <i>
      <x v="7"/>
    </i>
    <i>
      <x v="15"/>
    </i>
    <i>
      <x/>
    </i>
    <i>
      <x v="12"/>
    </i>
    <i>
      <x v="3"/>
    </i>
    <i>
      <x v="8"/>
    </i>
    <i>
      <x v="25"/>
    </i>
    <i>
      <x v="21"/>
    </i>
    <i>
      <x v="29"/>
    </i>
    <i>
      <x v="24"/>
    </i>
    <i>
      <x v="22"/>
    </i>
    <i>
      <x v="11"/>
    </i>
    <i>
      <x v="10"/>
    </i>
    <i>
      <x v="20"/>
    </i>
    <i>
      <x v="13"/>
    </i>
    <i>
      <x v="4"/>
    </i>
    <i>
      <x v="28"/>
    </i>
    <i>
      <x v="9"/>
    </i>
    <i>
      <x v="2"/>
    </i>
    <i>
      <x v="5"/>
    </i>
    <i>
      <x v="26"/>
    </i>
    <i>
      <x v="17"/>
    </i>
    <i>
      <x v="6"/>
    </i>
    <i>
      <x v="16"/>
    </i>
    <i>
      <x v="19"/>
    </i>
    <i>
      <x v="23"/>
    </i>
    <i>
      <x v="1"/>
    </i>
    <i t="grand">
      <x/>
    </i>
  </rowItems>
  <colItems count="1">
    <i/>
  </colItems>
  <pageFields count="1">
    <pageField fld="0" item="22" hier="-1"/>
  </pageFields>
  <dataFields count="1">
    <dataField name="Sum of Milk"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YoY% grwoth tre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67:I91" firstHeaderRow="1" firstDataRow="1" firstDataCol="1" rowPageCount="2" colPageCount="1"/>
  <pivotFields count="6">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multipleItemSelectionAllowed="1" showAll="0">
      <items count="7">
        <item x="3"/>
        <item h="1" x="2"/>
        <item h="1" x="1"/>
        <item h="1" x="5"/>
        <item h="1" x="0"/>
        <item h="1" x="4"/>
        <item t="default"/>
      </items>
    </pivotField>
    <pivotField dataField="1" showAll="0"/>
    <pivotField numFmtId="2" showAll="0"/>
    <pivotField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2">
    <pageField fld="1" hier="-1"/>
    <pageField fld="2" hier="-1"/>
  </pageFields>
  <dataFields count="1">
    <dataField name="YoY Growth Rate (%)" fld="3" showDataAs="percentDiff" baseField="0" baseItem="1048828" numFmtId="1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Avg annual growth"/>
    <pivotTable tabId="3" name="total milk production"/>
    <pivotTable tabId="3" name="growth v 5 year rolling"/>
    <pivotTable tabId="3" name="YoY% grwoth trend"/>
    <pivotTable tabId="3" name="yrealy milk production trend"/>
  </pivotTables>
  <data>
    <tabular pivotCacheId="1">
      <items count="30">
        <i x="4" s="1"/>
        <i x="13" s="1"/>
        <i x="0" s="1" nd="1"/>
        <i x="1" s="1" nd="1"/>
        <i x="2" s="1" nd="1"/>
        <i x="3" s="1" nd="1"/>
        <i x="29" s="1" nd="1"/>
        <i x="5" s="1" nd="1"/>
        <i x="6" s="1" nd="1"/>
        <i x="7" s="1" nd="1"/>
        <i x="8" s="1" nd="1"/>
        <i x="9" s="1" nd="1"/>
        <i x="10" s="1" nd="1"/>
        <i x="11" s="1" nd="1"/>
        <i x="12" s="1" nd="1"/>
        <i x="14" s="1" nd="1"/>
        <i x="15" s="1" nd="1"/>
        <i x="16" s="1" nd="1"/>
        <i x="17" s="1" nd="1"/>
        <i x="18" s="1" nd="1"/>
        <i x="19" s="1" nd="1"/>
        <i x="20" s="1" nd="1"/>
        <i x="21" s="1" nd="1"/>
        <i x="22" s="1" nd="1"/>
        <i x="23" s="1" nd="1"/>
        <i x="24" s="1" nd="1"/>
        <i x="25" s="1" nd="1"/>
        <i x="26" s="1" nd="1"/>
        <i x="27" s="1" nd="1"/>
        <i x="2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Avg annual growth"/>
    <pivotTable tabId="3" name="total milk production"/>
    <pivotTable tabId="3" name="regional concentration"/>
    <pivotTable tabId="3" name="growth v 5 year rolling"/>
    <pivotTable tabId="3" name="YoY% grwoth trend"/>
    <pivotTable tabId="3" name="yrealy milk production trend"/>
    <pivotTable tabId="3" name="Emerging States Highest Growth"/>
    <pivotTable tabId="3" name="rank"/>
  </pivotTables>
  <data>
    <tabular pivotCacheId="1">
      <items count="6">
        <i x="3" s="1"/>
        <i x="2"/>
        <i x="1"/>
        <i x="5"/>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style="SlicerStyleDark1" rowHeight="241300"/>
  <slicer name="Region" cache="Slicer_Region" caption="Region" style="SlicerStyleDark1" rowHeight="241300"/>
</slicers>
</file>

<file path=xl/tables/table1.xml><?xml version="1.0" encoding="utf-8"?>
<table xmlns="http://schemas.openxmlformats.org/spreadsheetml/2006/main" id="2" name="Table2" displayName="Table2" ref="A1:AB39" totalsRowShown="0" headerRowDxfId="91" dataDxfId="90" headerRowCellStyle="Normal 2" dataCellStyle="Normal 2">
  <autoFilter ref="A1:AB39"/>
  <tableColumns count="28">
    <tableColumn id="1" name="State" dataDxfId="89" dataCellStyle="Normal 2"/>
    <tableColumn id="2" name="2001-_x000a_02" dataDxfId="88" dataCellStyle="Normal 2"/>
    <tableColumn id="3" name="2002-_x000a_03" dataDxfId="87" dataCellStyle="Normal 2"/>
    <tableColumn id="4" name="2003-_x000a_04" dataDxfId="86" dataCellStyle="Normal 2"/>
    <tableColumn id="5" name="2004-_x000a_05" dataDxfId="85" dataCellStyle="Normal 2"/>
    <tableColumn id="6" name="2005-_x000a_06" dataDxfId="84" dataCellStyle="Normal 2"/>
    <tableColumn id="7" name="2006-_x000a_07" dataDxfId="83" dataCellStyle="Normal 2"/>
    <tableColumn id="8" name="2007-_x000a_08" dataDxfId="82" dataCellStyle="Normal 2"/>
    <tableColumn id="9" name="2008-_x000a_09" dataDxfId="81" dataCellStyle="Normal 2"/>
    <tableColumn id="10" name="2009-_x000a_10" dataDxfId="80" dataCellStyle="Normal 2"/>
    <tableColumn id="11" name="2010-_x000a_11" dataDxfId="79" dataCellStyle="Normal 2"/>
    <tableColumn id="12" name="2011-_x000a_12" dataDxfId="78" dataCellStyle="Normal 2"/>
    <tableColumn id="13" name="2012-_x000a_13" dataDxfId="77" dataCellStyle="Normal 2"/>
    <tableColumn id="14" name="2013-_x000a_14" dataDxfId="76" dataCellStyle="Normal 2"/>
    <tableColumn id="15" name="2014-_x000a_15" dataDxfId="75" dataCellStyle="Normal 2"/>
    <tableColumn id="16" name="2015-_x000a_16" dataDxfId="74" dataCellStyle="Normal 2"/>
    <tableColumn id="17" name="2016-_x000a_17" dataDxfId="73" dataCellStyle="Normal 2"/>
    <tableColumn id="18" name="2017-18" dataDxfId="72" dataCellStyle="Normal 2"/>
    <tableColumn id="19" name="2018-19" dataDxfId="71" dataCellStyle="Normal 2"/>
    <tableColumn id="20" name="2019-20" dataDxfId="70" dataCellStyle="Normal 2"/>
    <tableColumn id="21" name="2020-21" dataDxfId="69" dataCellStyle="Normal 2"/>
    <tableColumn id="22" name="2021-22" dataDxfId="68" dataCellStyle="Normal 2"/>
    <tableColumn id="23" name="2022-_x000a_23" dataDxfId="67" dataCellStyle="Normal 2"/>
    <tableColumn id="24" name="2023-_x000a_24" dataDxfId="66" dataCellStyle="Normal 2"/>
    <tableColumn id="25" name="Total" dataDxfId="65" dataCellStyle="Normal 2"/>
    <tableColumn id="26" name="Region" dataDxfId="64" dataCellStyle="Normal 2"/>
    <tableColumn id="27" name="Total Increase" dataDxfId="63" dataCellStyle="Percent 2"/>
    <tableColumn id="28" name="Column1" dataDxfId="62" dataCellStyle="Normal 2"/>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F689" totalsRowShown="0" headerRowDxfId="99" dataDxfId="98" headerRowCellStyle="Normal 2" dataCellStyle="Normal 2">
  <autoFilter ref="A1:F689"/>
  <tableColumns count="6">
    <tableColumn id="1" name="Year" dataDxfId="97" dataCellStyle="Normal 2"/>
    <tableColumn id="2" name="State" dataDxfId="96" dataCellStyle="Normal 2"/>
    <tableColumn id="3" name="Region" dataDxfId="95" dataCellStyle="Normal 2"/>
    <tableColumn id="4" name="Milk" dataDxfId="94" dataCellStyle="Normal 2"/>
    <tableColumn id="5" name="Total Growth" dataDxfId="93" dataCellStyle="Percent"/>
    <tableColumn id="6" name="5 Year Rolling" dataDxfId="92" dataCellStyle="Normal 2"/>
  </tableColumns>
  <tableStyleInfo name="TableStyleMedium21" showFirstColumn="0" showLastColumn="0" showRowStripes="1" showColumnStripes="0"/>
</table>
</file>

<file path=xl/tables/table3.xml><?xml version="1.0" encoding="utf-8"?>
<table xmlns="http://schemas.openxmlformats.org/spreadsheetml/2006/main" id="3" name="Table3" displayName="Table3" ref="S57:T63" totalsRowShown="0" headerRowBorderDxfId="51" tableBorderDxfId="50">
  <autoFilter ref="S57:T63"/>
  <tableColumns count="2">
    <tableColumn id="1" name="Column1" dataDxfId="49"/>
    <tableColumn id="2" name="Column2" dataDxfId="48"/>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E51:F57" totalsRowShown="0">
  <autoFilter ref="E51:F57"/>
  <sortState ref="E52:F57">
    <sortCondition ref="F51:F57"/>
  </sortState>
  <tableColumns count="2">
    <tableColumn id="1" name="Region" dataDxfId="47"/>
    <tableColumn id="2" name="Growth Rate" dataDxfId="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9"/>
  <sheetViews>
    <sheetView zoomScale="55" zoomScaleNormal="55" workbookViewId="0">
      <selection activeCell="A39" sqref="A39"/>
    </sheetView>
  </sheetViews>
  <sheetFormatPr defaultRowHeight="14.5" x14ac:dyDescent="0.35"/>
  <cols>
    <col min="18" max="22" width="9.54296875" customWidth="1"/>
    <col min="26" max="26" width="14.453125" bestFit="1" customWidth="1"/>
    <col min="27" max="27" width="17.54296875" customWidth="1"/>
    <col min="28" max="28" width="11.08984375" customWidth="1"/>
  </cols>
  <sheetData>
    <row r="1" spans="1:28" x14ac:dyDescent="0.35">
      <c r="A1" s="4" t="s">
        <v>1</v>
      </c>
      <c r="B1" s="4" t="s">
        <v>63</v>
      </c>
      <c r="C1" s="4" t="s">
        <v>64</v>
      </c>
      <c r="D1" s="4" t="s">
        <v>65</v>
      </c>
      <c r="E1" s="4" t="s">
        <v>66</v>
      </c>
      <c r="F1" s="4" t="s">
        <v>67</v>
      </c>
      <c r="G1" s="4" t="s">
        <v>68</v>
      </c>
      <c r="H1" s="4" t="s">
        <v>69</v>
      </c>
      <c r="I1" s="4" t="s">
        <v>70</v>
      </c>
      <c r="J1" s="4" t="s">
        <v>71</v>
      </c>
      <c r="K1" s="4" t="s">
        <v>72</v>
      </c>
      <c r="L1" s="4" t="s">
        <v>73</v>
      </c>
      <c r="M1" s="4" t="s">
        <v>74</v>
      </c>
      <c r="N1" s="4" t="s">
        <v>75</v>
      </c>
      <c r="O1" s="4" t="s">
        <v>76</v>
      </c>
      <c r="P1" s="4" t="s">
        <v>77</v>
      </c>
      <c r="Q1" s="4" t="s">
        <v>78</v>
      </c>
      <c r="R1" s="4" t="s">
        <v>22</v>
      </c>
      <c r="S1" s="4" t="s">
        <v>23</v>
      </c>
      <c r="T1" s="4" t="s">
        <v>24</v>
      </c>
      <c r="U1" s="4" t="s">
        <v>25</v>
      </c>
      <c r="V1" s="4" t="s">
        <v>26</v>
      </c>
      <c r="W1" s="4" t="s">
        <v>79</v>
      </c>
      <c r="X1" s="4" t="s">
        <v>80</v>
      </c>
      <c r="Y1" s="4" t="s">
        <v>81</v>
      </c>
      <c r="Z1" s="4" t="s">
        <v>2</v>
      </c>
      <c r="AA1" s="5" t="s">
        <v>82</v>
      </c>
      <c r="AB1" s="4" t="s">
        <v>96</v>
      </c>
    </row>
    <row r="2" spans="1:28" x14ac:dyDescent="0.35">
      <c r="A2" s="4" t="s">
        <v>32</v>
      </c>
      <c r="B2" s="4">
        <v>2664</v>
      </c>
      <c r="C2" s="4">
        <v>2869</v>
      </c>
      <c r="D2" s="4">
        <v>3180</v>
      </c>
      <c r="E2" s="4">
        <v>4743</v>
      </c>
      <c r="F2" s="4">
        <v>5060</v>
      </c>
      <c r="G2" s="4">
        <v>5451</v>
      </c>
      <c r="H2" s="4">
        <v>5783</v>
      </c>
      <c r="I2" s="4">
        <v>5934</v>
      </c>
      <c r="J2" s="4">
        <v>6124</v>
      </c>
      <c r="K2" s="4">
        <v>6517</v>
      </c>
      <c r="L2" s="4">
        <v>6643</v>
      </c>
      <c r="M2" s="4">
        <v>6845</v>
      </c>
      <c r="N2" s="4">
        <v>7197</v>
      </c>
      <c r="O2" s="4">
        <v>7775</v>
      </c>
      <c r="P2" s="4">
        <v>8288</v>
      </c>
      <c r="Q2" s="4">
        <v>8711</v>
      </c>
      <c r="R2" s="4">
        <v>9242</v>
      </c>
      <c r="S2" s="4">
        <v>9818</v>
      </c>
      <c r="T2" s="4">
        <v>10480</v>
      </c>
      <c r="U2" s="4">
        <v>11502</v>
      </c>
      <c r="V2" s="4">
        <v>12253</v>
      </c>
      <c r="W2" s="4">
        <v>12503</v>
      </c>
      <c r="X2" s="4">
        <v>12853</v>
      </c>
      <c r="Y2" s="4">
        <v>172435</v>
      </c>
      <c r="Z2" s="4" t="s">
        <v>33</v>
      </c>
      <c r="AA2" s="6">
        <v>3.8246996996996998</v>
      </c>
      <c r="AB2" s="4">
        <v>3.82</v>
      </c>
    </row>
    <row r="3" spans="1:28" x14ac:dyDescent="0.35">
      <c r="A3" s="4" t="s">
        <v>54</v>
      </c>
      <c r="B3" s="4">
        <v>7758</v>
      </c>
      <c r="C3" s="4">
        <v>7789</v>
      </c>
      <c r="D3" s="4">
        <v>8054</v>
      </c>
      <c r="E3" s="4">
        <v>8310</v>
      </c>
      <c r="F3" s="4">
        <v>8713</v>
      </c>
      <c r="G3" s="4">
        <v>10309</v>
      </c>
      <c r="H3" s="4">
        <v>11377</v>
      </c>
      <c r="I3" s="4">
        <v>11931</v>
      </c>
      <c r="J3" s="4">
        <v>12330</v>
      </c>
      <c r="K3" s="4">
        <v>13234</v>
      </c>
      <c r="L3" s="4">
        <v>13512</v>
      </c>
      <c r="M3" s="4">
        <v>13946</v>
      </c>
      <c r="N3" s="4">
        <v>14573</v>
      </c>
      <c r="O3" s="4">
        <v>16934</v>
      </c>
      <c r="P3" s="4">
        <v>18500</v>
      </c>
      <c r="Q3" s="4">
        <v>20850</v>
      </c>
      <c r="R3" s="4">
        <v>22427</v>
      </c>
      <c r="S3" s="4">
        <v>23668</v>
      </c>
      <c r="T3" s="4">
        <v>25573</v>
      </c>
      <c r="U3" s="4">
        <v>30723</v>
      </c>
      <c r="V3" s="4">
        <v>33265</v>
      </c>
      <c r="W3" s="4">
        <v>33307</v>
      </c>
      <c r="X3" s="4">
        <v>34733</v>
      </c>
      <c r="Y3" s="4">
        <v>401816</v>
      </c>
      <c r="Z3" s="4" t="s">
        <v>40</v>
      </c>
      <c r="AA3" s="6">
        <v>3.4770559422531582</v>
      </c>
      <c r="AB3" s="4">
        <v>3.48</v>
      </c>
    </row>
    <row r="4" spans="1:28" x14ac:dyDescent="0.35">
      <c r="A4" s="4" t="s">
        <v>46</v>
      </c>
      <c r="B4" s="4">
        <v>5283</v>
      </c>
      <c r="C4" s="4">
        <v>5343</v>
      </c>
      <c r="D4" s="4">
        <v>5388</v>
      </c>
      <c r="E4" s="4">
        <v>5506</v>
      </c>
      <c r="F4" s="4">
        <v>6283</v>
      </c>
      <c r="G4" s="4">
        <v>6374</v>
      </c>
      <c r="H4" s="4">
        <v>6572</v>
      </c>
      <c r="I4" s="4">
        <v>6855</v>
      </c>
      <c r="J4" s="4">
        <v>7167</v>
      </c>
      <c r="K4" s="4">
        <v>7514</v>
      </c>
      <c r="L4" s="4">
        <v>8149</v>
      </c>
      <c r="M4" s="4">
        <v>8838</v>
      </c>
      <c r="N4" s="4">
        <v>9599</v>
      </c>
      <c r="O4" s="4">
        <v>10779</v>
      </c>
      <c r="P4" s="4">
        <v>12148</v>
      </c>
      <c r="Q4" s="4">
        <v>13445</v>
      </c>
      <c r="R4" s="4">
        <v>14713</v>
      </c>
      <c r="S4" s="4">
        <v>15911</v>
      </c>
      <c r="T4" s="4">
        <v>17109</v>
      </c>
      <c r="U4" s="4">
        <v>17999</v>
      </c>
      <c r="V4" s="4">
        <v>19004</v>
      </c>
      <c r="W4" s="4">
        <v>20122</v>
      </c>
      <c r="X4" s="4">
        <v>21326</v>
      </c>
      <c r="Y4" s="4">
        <v>251427</v>
      </c>
      <c r="Z4" s="4" t="s">
        <v>35</v>
      </c>
      <c r="AA4" s="6">
        <v>3.0367215597198562</v>
      </c>
      <c r="AB4" s="4">
        <v>3.04</v>
      </c>
    </row>
    <row r="5" spans="1:28" x14ac:dyDescent="0.35">
      <c r="A5" s="4" t="s">
        <v>43</v>
      </c>
      <c r="B5" s="4">
        <v>940</v>
      </c>
      <c r="C5" s="4">
        <v>952</v>
      </c>
      <c r="D5" s="4">
        <v>954</v>
      </c>
      <c r="E5" s="4">
        <v>1330</v>
      </c>
      <c r="F5" s="4">
        <v>1335</v>
      </c>
      <c r="G5" s="4">
        <v>1401</v>
      </c>
      <c r="H5" s="4">
        <v>1442</v>
      </c>
      <c r="I5" s="4">
        <v>1466</v>
      </c>
      <c r="J5" s="4">
        <v>1463</v>
      </c>
      <c r="K5" s="4">
        <v>1555</v>
      </c>
      <c r="L5" s="4">
        <v>1745</v>
      </c>
      <c r="M5" s="4">
        <v>1679</v>
      </c>
      <c r="N5" s="4">
        <v>1700</v>
      </c>
      <c r="O5" s="4">
        <v>1734</v>
      </c>
      <c r="P5" s="4">
        <v>1812</v>
      </c>
      <c r="Q5" s="4">
        <v>1894</v>
      </c>
      <c r="R5" s="4">
        <v>2016</v>
      </c>
      <c r="S5" s="4">
        <v>2183</v>
      </c>
      <c r="T5" s="4">
        <v>2321</v>
      </c>
      <c r="U5" s="4">
        <v>2434</v>
      </c>
      <c r="V5" s="4">
        <v>2629</v>
      </c>
      <c r="W5" s="4">
        <v>2774</v>
      </c>
      <c r="X5" s="4">
        <v>3025</v>
      </c>
      <c r="Y5" s="4">
        <v>40784</v>
      </c>
      <c r="Z5" s="4" t="s">
        <v>33</v>
      </c>
      <c r="AA5" s="6">
        <v>2.2180851063829787</v>
      </c>
      <c r="AB5" s="4">
        <v>2.2200000000000002</v>
      </c>
    </row>
    <row r="6" spans="1:28" x14ac:dyDescent="0.35">
      <c r="A6" s="4" t="s">
        <v>38</v>
      </c>
      <c r="B6" s="4">
        <v>5862</v>
      </c>
      <c r="C6" s="4">
        <v>6089</v>
      </c>
      <c r="D6" s="4">
        <v>6421</v>
      </c>
      <c r="E6" s="4">
        <v>6745</v>
      </c>
      <c r="F6" s="4">
        <v>6960</v>
      </c>
      <c r="G6" s="4">
        <v>7533</v>
      </c>
      <c r="H6" s="4">
        <v>7911</v>
      </c>
      <c r="I6" s="4">
        <v>8386</v>
      </c>
      <c r="J6" s="4">
        <v>8844</v>
      </c>
      <c r="K6" s="4">
        <v>9321</v>
      </c>
      <c r="L6" s="4">
        <v>9817</v>
      </c>
      <c r="M6" s="4">
        <v>10315</v>
      </c>
      <c r="N6" s="4">
        <v>11112</v>
      </c>
      <c r="O6" s="4">
        <v>11691</v>
      </c>
      <c r="P6" s="4">
        <v>12262</v>
      </c>
      <c r="Q6" s="4">
        <v>12784</v>
      </c>
      <c r="R6" s="4">
        <v>13569</v>
      </c>
      <c r="S6" s="4">
        <v>14493</v>
      </c>
      <c r="T6" s="4">
        <v>15292</v>
      </c>
      <c r="U6" s="4">
        <v>15853</v>
      </c>
      <c r="V6" s="4">
        <v>16722</v>
      </c>
      <c r="W6" s="4">
        <v>17281</v>
      </c>
      <c r="X6" s="4">
        <v>18312</v>
      </c>
      <c r="Y6" s="4">
        <v>253575</v>
      </c>
      <c r="Z6" s="4" t="s">
        <v>37</v>
      </c>
      <c r="AA6" s="6">
        <v>2.1238485158648923</v>
      </c>
      <c r="AB6" s="4">
        <v>2.12</v>
      </c>
    </row>
    <row r="7" spans="1:28" x14ac:dyDescent="0.35">
      <c r="A7" s="4" t="s">
        <v>83</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15</v>
      </c>
      <c r="V7" s="4">
        <v>29</v>
      </c>
      <c r="W7" s="4">
        <v>31</v>
      </c>
      <c r="X7" s="4">
        <v>29.31</v>
      </c>
      <c r="Y7" s="4">
        <v>104.31</v>
      </c>
      <c r="Z7" s="4" t="s">
        <v>40</v>
      </c>
      <c r="AA7" s="6">
        <v>2.0666666666666669</v>
      </c>
      <c r="AB7" s="4" t="e">
        <v>#DIV/0!</v>
      </c>
    </row>
    <row r="8" spans="1:28" x14ac:dyDescent="0.35">
      <c r="A8" s="4" t="s">
        <v>84</v>
      </c>
      <c r="B8" s="4">
        <v>2</v>
      </c>
      <c r="C8" s="4">
        <v>2</v>
      </c>
      <c r="D8" s="4">
        <v>1</v>
      </c>
      <c r="E8" s="4">
        <v>1</v>
      </c>
      <c r="F8" s="4">
        <v>2</v>
      </c>
      <c r="G8" s="4">
        <v>2</v>
      </c>
      <c r="H8" s="4">
        <v>2</v>
      </c>
      <c r="I8" s="4">
        <v>2</v>
      </c>
      <c r="J8" s="4">
        <v>2</v>
      </c>
      <c r="K8" s="4">
        <v>2</v>
      </c>
      <c r="L8" s="4">
        <v>2</v>
      </c>
      <c r="M8" s="4">
        <v>2</v>
      </c>
      <c r="N8" s="4">
        <v>6</v>
      </c>
      <c r="O8" s="4">
        <v>4</v>
      </c>
      <c r="P8" s="4">
        <v>3</v>
      </c>
      <c r="Q8" s="4">
        <v>3</v>
      </c>
      <c r="R8" s="4">
        <v>3</v>
      </c>
      <c r="S8" s="4">
        <v>4</v>
      </c>
      <c r="T8" s="4">
        <v>4</v>
      </c>
      <c r="U8" s="4">
        <v>4</v>
      </c>
      <c r="V8" s="4">
        <v>0.42</v>
      </c>
      <c r="W8" s="4">
        <v>0.41</v>
      </c>
      <c r="X8" s="4">
        <v>0.39</v>
      </c>
      <c r="Y8" s="4">
        <v>54.22</v>
      </c>
      <c r="Z8" s="4" t="s">
        <v>85</v>
      </c>
      <c r="AA8" s="6">
        <v>2</v>
      </c>
      <c r="AB8" s="4">
        <v>-0.81</v>
      </c>
    </row>
    <row r="9" spans="1:28" x14ac:dyDescent="0.35">
      <c r="A9" s="4" t="s">
        <v>52</v>
      </c>
      <c r="B9" s="4">
        <v>929</v>
      </c>
      <c r="C9" s="4">
        <v>941</v>
      </c>
      <c r="D9" s="4">
        <v>997</v>
      </c>
      <c r="E9" s="4">
        <v>1283</v>
      </c>
      <c r="F9" s="4">
        <v>1342</v>
      </c>
      <c r="G9" s="4">
        <v>1431</v>
      </c>
      <c r="H9" s="4">
        <v>1625</v>
      </c>
      <c r="I9" s="4">
        <v>1598</v>
      </c>
      <c r="J9" s="4">
        <v>1651</v>
      </c>
      <c r="K9" s="4">
        <v>1671</v>
      </c>
      <c r="L9" s="4">
        <v>1721</v>
      </c>
      <c r="M9" s="4">
        <v>1724</v>
      </c>
      <c r="N9" s="4">
        <v>1861</v>
      </c>
      <c r="O9" s="4">
        <v>1903</v>
      </c>
      <c r="P9" s="4">
        <v>1930</v>
      </c>
      <c r="Q9" s="4">
        <v>2003</v>
      </c>
      <c r="R9" s="4">
        <v>2088</v>
      </c>
      <c r="S9" s="4">
        <v>2311</v>
      </c>
      <c r="T9" s="4">
        <v>2370</v>
      </c>
      <c r="U9" s="4">
        <v>2373</v>
      </c>
      <c r="V9" s="4">
        <v>2402</v>
      </c>
      <c r="W9" s="4">
        <v>2476</v>
      </c>
      <c r="X9" s="4">
        <v>2636</v>
      </c>
      <c r="Y9" s="4">
        <v>41266</v>
      </c>
      <c r="Z9" s="4" t="s">
        <v>33</v>
      </c>
      <c r="AA9" s="6">
        <v>1.83745963401507</v>
      </c>
      <c r="AB9" s="4">
        <v>1.84</v>
      </c>
    </row>
    <row r="10" spans="1:28" x14ac:dyDescent="0.35">
      <c r="A10" s="4" t="s">
        <v>86</v>
      </c>
      <c r="B10" s="4">
        <v>84406</v>
      </c>
      <c r="C10" s="4">
        <v>86159</v>
      </c>
      <c r="D10" s="4">
        <v>88082</v>
      </c>
      <c r="E10" s="4">
        <v>92484</v>
      </c>
      <c r="F10" s="4">
        <v>97066</v>
      </c>
      <c r="G10" s="4">
        <v>102580</v>
      </c>
      <c r="H10" s="4">
        <v>107934</v>
      </c>
      <c r="I10" s="4">
        <v>112183</v>
      </c>
      <c r="J10" s="4">
        <v>116425</v>
      </c>
      <c r="K10" s="4">
        <v>121848</v>
      </c>
      <c r="L10" s="4">
        <v>127904</v>
      </c>
      <c r="M10" s="4">
        <v>132431</v>
      </c>
      <c r="N10" s="4">
        <v>137685</v>
      </c>
      <c r="O10" s="4">
        <v>146314</v>
      </c>
      <c r="P10" s="4">
        <v>155491</v>
      </c>
      <c r="Q10" s="4">
        <v>165404</v>
      </c>
      <c r="R10" s="4">
        <v>176347</v>
      </c>
      <c r="S10" s="4">
        <v>187749</v>
      </c>
      <c r="T10" s="4">
        <v>198440</v>
      </c>
      <c r="U10" s="4">
        <v>209960</v>
      </c>
      <c r="V10" s="4">
        <v>222069</v>
      </c>
      <c r="W10" s="4">
        <v>230577</v>
      </c>
      <c r="X10" s="4">
        <v>239299</v>
      </c>
      <c r="Y10" s="4">
        <v>3338837</v>
      </c>
      <c r="Z10" s="4"/>
      <c r="AA10" s="6">
        <v>1.8350946615169537</v>
      </c>
      <c r="AB10" s="4">
        <v>1.84</v>
      </c>
    </row>
    <row r="11" spans="1:28" x14ac:dyDescent="0.35">
      <c r="A11" s="4" t="s">
        <v>44</v>
      </c>
      <c r="B11" s="4">
        <v>4797</v>
      </c>
      <c r="C11" s="4">
        <v>4539</v>
      </c>
      <c r="D11" s="4">
        <v>3857</v>
      </c>
      <c r="E11" s="4">
        <v>3917</v>
      </c>
      <c r="F11" s="4">
        <v>4022</v>
      </c>
      <c r="G11" s="4">
        <v>4124</v>
      </c>
      <c r="H11" s="4">
        <v>4244</v>
      </c>
      <c r="I11" s="4">
        <v>4538</v>
      </c>
      <c r="J11" s="4">
        <v>4822</v>
      </c>
      <c r="K11" s="4">
        <v>5114</v>
      </c>
      <c r="L11" s="4">
        <v>5447</v>
      </c>
      <c r="M11" s="4">
        <v>5718</v>
      </c>
      <c r="N11" s="4">
        <v>5997</v>
      </c>
      <c r="O11" s="4">
        <v>6121</v>
      </c>
      <c r="P11" s="4">
        <v>6344</v>
      </c>
      <c r="Q11" s="4">
        <v>6562</v>
      </c>
      <c r="R11" s="4">
        <v>7137</v>
      </c>
      <c r="S11" s="4">
        <v>7901</v>
      </c>
      <c r="T11" s="4">
        <v>9031</v>
      </c>
      <c r="U11" s="4">
        <v>10936</v>
      </c>
      <c r="V11" s="4">
        <v>11796</v>
      </c>
      <c r="W11" s="4">
        <v>12829</v>
      </c>
      <c r="X11" s="4">
        <v>13463</v>
      </c>
      <c r="Y11" s="4">
        <v>153256</v>
      </c>
      <c r="Z11" s="4" t="s">
        <v>6</v>
      </c>
      <c r="AA11" s="6">
        <v>1.8065457577652699</v>
      </c>
      <c r="AB11" s="4">
        <v>1.81</v>
      </c>
    </row>
    <row r="12" spans="1:28" x14ac:dyDescent="0.35">
      <c r="A12" s="4" t="s">
        <v>58</v>
      </c>
      <c r="B12" s="4">
        <v>90</v>
      </c>
      <c r="C12" s="4">
        <v>79</v>
      </c>
      <c r="D12" s="4">
        <v>84</v>
      </c>
      <c r="E12" s="4">
        <v>86</v>
      </c>
      <c r="F12" s="4">
        <v>87</v>
      </c>
      <c r="G12" s="4">
        <v>89</v>
      </c>
      <c r="H12" s="4">
        <v>91</v>
      </c>
      <c r="I12" s="4">
        <v>96</v>
      </c>
      <c r="J12" s="4">
        <v>100</v>
      </c>
      <c r="K12" s="4">
        <v>104</v>
      </c>
      <c r="L12" s="4">
        <v>111</v>
      </c>
      <c r="M12" s="4">
        <v>118</v>
      </c>
      <c r="N12" s="4">
        <v>130</v>
      </c>
      <c r="O12" s="4">
        <v>141</v>
      </c>
      <c r="P12" s="4">
        <v>152</v>
      </c>
      <c r="Q12" s="4">
        <v>160</v>
      </c>
      <c r="R12" s="4">
        <v>174</v>
      </c>
      <c r="S12" s="4">
        <v>185</v>
      </c>
      <c r="T12" s="4">
        <v>199</v>
      </c>
      <c r="U12" s="4">
        <v>206</v>
      </c>
      <c r="V12" s="4">
        <v>217</v>
      </c>
      <c r="W12" s="4">
        <v>230</v>
      </c>
      <c r="X12" s="4">
        <v>247</v>
      </c>
      <c r="Y12" s="4">
        <v>3176</v>
      </c>
      <c r="Z12" s="4" t="s">
        <v>87</v>
      </c>
      <c r="AA12" s="6">
        <v>1.7444444444444445</v>
      </c>
      <c r="AB12" s="4">
        <v>1.74</v>
      </c>
    </row>
    <row r="13" spans="1:28" x14ac:dyDescent="0.35">
      <c r="A13" s="4" t="s">
        <v>34</v>
      </c>
      <c r="B13" s="4">
        <v>795</v>
      </c>
      <c r="C13" s="4">
        <v>804</v>
      </c>
      <c r="D13" s="4">
        <v>812</v>
      </c>
      <c r="E13" s="4">
        <v>831</v>
      </c>
      <c r="F13" s="4">
        <v>839</v>
      </c>
      <c r="G13" s="4">
        <v>849</v>
      </c>
      <c r="H13" s="4">
        <v>866</v>
      </c>
      <c r="I13" s="4">
        <v>908</v>
      </c>
      <c r="J13" s="4">
        <v>956</v>
      </c>
      <c r="K13" s="4">
        <v>1029</v>
      </c>
      <c r="L13" s="4">
        <v>1119</v>
      </c>
      <c r="M13" s="4">
        <v>1164</v>
      </c>
      <c r="N13" s="4">
        <v>1209</v>
      </c>
      <c r="O13" s="4">
        <v>1232</v>
      </c>
      <c r="P13" s="4">
        <v>1277</v>
      </c>
      <c r="Q13" s="4">
        <v>1374</v>
      </c>
      <c r="R13" s="4">
        <v>1469</v>
      </c>
      <c r="S13" s="4">
        <v>1567</v>
      </c>
      <c r="T13" s="4">
        <v>1676</v>
      </c>
      <c r="U13" s="4">
        <v>1747</v>
      </c>
      <c r="V13" s="4">
        <v>1848</v>
      </c>
      <c r="W13" s="4">
        <v>1956</v>
      </c>
      <c r="X13" s="4">
        <v>2124</v>
      </c>
      <c r="Y13" s="4">
        <v>28451</v>
      </c>
      <c r="Z13" s="4" t="s">
        <v>35</v>
      </c>
      <c r="AA13" s="6">
        <v>1.6716981132075472</v>
      </c>
      <c r="AB13" s="4">
        <v>1.67</v>
      </c>
    </row>
    <row r="14" spans="1:28" x14ac:dyDescent="0.35">
      <c r="A14" s="4" t="s">
        <v>5</v>
      </c>
      <c r="B14" s="4">
        <v>5814</v>
      </c>
      <c r="C14" s="4">
        <v>6584</v>
      </c>
      <c r="D14" s="4">
        <v>6959</v>
      </c>
      <c r="E14" s="4">
        <v>7257</v>
      </c>
      <c r="F14" s="4">
        <v>7624</v>
      </c>
      <c r="G14" s="4">
        <v>7938</v>
      </c>
      <c r="H14" s="4">
        <v>8925</v>
      </c>
      <c r="I14" s="4">
        <v>9570</v>
      </c>
      <c r="J14" s="4">
        <v>10429</v>
      </c>
      <c r="K14" s="4">
        <v>11203</v>
      </c>
      <c r="L14" s="4">
        <v>12088</v>
      </c>
      <c r="M14" s="4">
        <v>12762</v>
      </c>
      <c r="N14" s="4">
        <v>13007</v>
      </c>
      <c r="O14" s="4">
        <v>9656</v>
      </c>
      <c r="P14" s="4">
        <v>10817</v>
      </c>
      <c r="Q14" s="4">
        <v>12178</v>
      </c>
      <c r="R14" s="4">
        <v>13725</v>
      </c>
      <c r="S14" s="4">
        <v>15044</v>
      </c>
      <c r="T14" s="4">
        <v>15263</v>
      </c>
      <c r="U14" s="4">
        <v>14714</v>
      </c>
      <c r="V14" s="4">
        <v>15403</v>
      </c>
      <c r="W14" s="4">
        <v>15448</v>
      </c>
      <c r="X14" s="4">
        <v>13994</v>
      </c>
      <c r="Y14" s="4">
        <v>256402</v>
      </c>
      <c r="Z14" s="4" t="s">
        <v>6</v>
      </c>
      <c r="AA14" s="6">
        <v>1.6570347437220503</v>
      </c>
      <c r="AB14" s="4">
        <v>1.41</v>
      </c>
    </row>
    <row r="15" spans="1:28" x14ac:dyDescent="0.35">
      <c r="A15" s="4" t="s">
        <v>59</v>
      </c>
      <c r="B15" s="4">
        <v>14648</v>
      </c>
      <c r="C15" s="4">
        <v>15288</v>
      </c>
      <c r="D15" s="4">
        <v>15943</v>
      </c>
      <c r="E15" s="4">
        <v>16512</v>
      </c>
      <c r="F15" s="4">
        <v>17356</v>
      </c>
      <c r="G15" s="4">
        <v>18094</v>
      </c>
      <c r="H15" s="4">
        <v>18861</v>
      </c>
      <c r="I15" s="4">
        <v>19537</v>
      </c>
      <c r="J15" s="4">
        <v>20203</v>
      </c>
      <c r="K15" s="4">
        <v>21031</v>
      </c>
      <c r="L15" s="4">
        <v>22556</v>
      </c>
      <c r="M15" s="4">
        <v>23330</v>
      </c>
      <c r="N15" s="4">
        <v>24194</v>
      </c>
      <c r="O15" s="4">
        <v>25198</v>
      </c>
      <c r="P15" s="4">
        <v>26387</v>
      </c>
      <c r="Q15" s="4">
        <v>27770</v>
      </c>
      <c r="R15" s="4">
        <v>29052</v>
      </c>
      <c r="S15" s="4">
        <v>30519</v>
      </c>
      <c r="T15" s="4">
        <v>31864</v>
      </c>
      <c r="U15" s="4">
        <v>31359</v>
      </c>
      <c r="V15" s="4">
        <v>33874</v>
      </c>
      <c r="W15" s="4">
        <v>36242</v>
      </c>
      <c r="X15" s="4">
        <v>38780</v>
      </c>
      <c r="Y15" s="4">
        <v>558598</v>
      </c>
      <c r="Z15" s="4" t="s">
        <v>40</v>
      </c>
      <c r="AA15" s="6">
        <v>1.6474604041507372</v>
      </c>
      <c r="AB15" s="4">
        <v>1.65</v>
      </c>
    </row>
    <row r="16" spans="1:28" x14ac:dyDescent="0.35">
      <c r="A16" s="4" t="s">
        <v>47</v>
      </c>
      <c r="B16" s="4">
        <v>6094</v>
      </c>
      <c r="C16" s="4">
        <v>6238</v>
      </c>
      <c r="D16" s="4">
        <v>6379</v>
      </c>
      <c r="E16" s="4">
        <v>6567</v>
      </c>
      <c r="F16" s="4">
        <v>6769</v>
      </c>
      <c r="G16" s="4">
        <v>6978</v>
      </c>
      <c r="H16" s="4">
        <v>7210</v>
      </c>
      <c r="I16" s="4">
        <v>7455</v>
      </c>
      <c r="J16" s="4">
        <v>7679</v>
      </c>
      <c r="K16" s="4">
        <v>8044</v>
      </c>
      <c r="L16" s="4">
        <v>8469</v>
      </c>
      <c r="M16" s="4">
        <v>8734</v>
      </c>
      <c r="N16" s="4">
        <v>9089</v>
      </c>
      <c r="O16" s="4">
        <v>9542</v>
      </c>
      <c r="P16" s="4">
        <v>10153</v>
      </c>
      <c r="Q16" s="4">
        <v>10402</v>
      </c>
      <c r="R16" s="4">
        <v>11102</v>
      </c>
      <c r="S16" s="4">
        <v>11655</v>
      </c>
      <c r="T16" s="4">
        <v>12024</v>
      </c>
      <c r="U16" s="4">
        <v>13703</v>
      </c>
      <c r="V16" s="4">
        <v>14305</v>
      </c>
      <c r="W16" s="4">
        <v>15042</v>
      </c>
      <c r="X16" s="4">
        <v>16045</v>
      </c>
      <c r="Y16" s="4">
        <v>219678</v>
      </c>
      <c r="Z16" s="4" t="s">
        <v>37</v>
      </c>
      <c r="AA16" s="6">
        <v>1.6329176238923531</v>
      </c>
      <c r="AB16" s="4">
        <v>1.63</v>
      </c>
    </row>
    <row r="17" spans="1:28" x14ac:dyDescent="0.35">
      <c r="A17" s="4" t="s">
        <v>39</v>
      </c>
      <c r="B17" s="4">
        <v>4978</v>
      </c>
      <c r="C17" s="4">
        <v>5124</v>
      </c>
      <c r="D17" s="4">
        <v>5221</v>
      </c>
      <c r="E17" s="4">
        <v>5222</v>
      </c>
      <c r="F17" s="4">
        <v>5299</v>
      </c>
      <c r="G17" s="4">
        <v>5366</v>
      </c>
      <c r="H17" s="4">
        <v>5442</v>
      </c>
      <c r="I17" s="4">
        <v>5745</v>
      </c>
      <c r="J17" s="4">
        <v>6006</v>
      </c>
      <c r="K17" s="4">
        <v>6267</v>
      </c>
      <c r="L17" s="4">
        <v>6661</v>
      </c>
      <c r="M17" s="4">
        <v>7040</v>
      </c>
      <c r="N17" s="4">
        <v>7442</v>
      </c>
      <c r="O17" s="4">
        <v>7901</v>
      </c>
      <c r="P17" s="4">
        <v>8381</v>
      </c>
      <c r="Q17" s="4">
        <v>8975</v>
      </c>
      <c r="R17" s="4">
        <v>9809</v>
      </c>
      <c r="S17" s="4">
        <v>10726</v>
      </c>
      <c r="T17" s="4">
        <v>11735</v>
      </c>
      <c r="U17" s="4">
        <v>11284</v>
      </c>
      <c r="V17" s="4">
        <v>11630</v>
      </c>
      <c r="W17" s="4">
        <v>11966</v>
      </c>
      <c r="X17" s="4">
        <v>12220</v>
      </c>
      <c r="Y17" s="4">
        <v>180440</v>
      </c>
      <c r="Z17" s="4" t="s">
        <v>40</v>
      </c>
      <c r="AA17" s="6">
        <v>1.454801124949779</v>
      </c>
      <c r="AB17" s="4">
        <v>1.45</v>
      </c>
    </row>
    <row r="18" spans="1:28" x14ac:dyDescent="0.35">
      <c r="A18" s="4" t="s">
        <v>57</v>
      </c>
      <c r="B18" s="4">
        <v>0</v>
      </c>
      <c r="C18" s="4">
        <v>0</v>
      </c>
      <c r="D18" s="4">
        <v>0</v>
      </c>
      <c r="E18" s="4">
        <v>0</v>
      </c>
      <c r="F18" s="4">
        <v>0</v>
      </c>
      <c r="G18" s="4">
        <v>0</v>
      </c>
      <c r="H18" s="4">
        <v>0</v>
      </c>
      <c r="I18" s="4">
        <v>0</v>
      </c>
      <c r="J18" s="4">
        <v>0</v>
      </c>
      <c r="K18" s="4">
        <v>0</v>
      </c>
      <c r="L18" s="4">
        <v>0</v>
      </c>
      <c r="M18" s="4">
        <v>0</v>
      </c>
      <c r="N18" s="4">
        <v>0</v>
      </c>
      <c r="O18" s="4">
        <v>4207</v>
      </c>
      <c r="P18" s="4">
        <v>4442</v>
      </c>
      <c r="Q18" s="4">
        <v>4681</v>
      </c>
      <c r="R18" s="4">
        <v>4965</v>
      </c>
      <c r="S18" s="4">
        <v>5416</v>
      </c>
      <c r="T18" s="4">
        <v>5590</v>
      </c>
      <c r="U18" s="4">
        <v>5765</v>
      </c>
      <c r="V18" s="4">
        <v>5808</v>
      </c>
      <c r="W18" s="4">
        <v>5855</v>
      </c>
      <c r="X18" s="4">
        <v>5840</v>
      </c>
      <c r="Y18" s="4">
        <v>52569</v>
      </c>
      <c r="Z18" s="4" t="s">
        <v>6</v>
      </c>
      <c r="AA18" s="6">
        <v>1.3917280722605181</v>
      </c>
      <c r="AB18" s="4" t="e">
        <v>#DIV/0!</v>
      </c>
    </row>
    <row r="19" spans="1:28" x14ac:dyDescent="0.35">
      <c r="A19" s="4" t="s">
        <v>55</v>
      </c>
      <c r="B19" s="4">
        <v>37</v>
      </c>
      <c r="C19" s="4">
        <v>45</v>
      </c>
      <c r="D19" s="4">
        <v>48</v>
      </c>
      <c r="E19" s="4">
        <v>46</v>
      </c>
      <c r="F19" s="4">
        <v>48</v>
      </c>
      <c r="G19" s="4">
        <v>49</v>
      </c>
      <c r="H19" s="4">
        <v>42</v>
      </c>
      <c r="I19" s="4">
        <v>42</v>
      </c>
      <c r="J19" s="4">
        <v>44</v>
      </c>
      <c r="K19" s="4">
        <v>43</v>
      </c>
      <c r="L19" s="4">
        <v>45</v>
      </c>
      <c r="M19" s="4">
        <v>42</v>
      </c>
      <c r="N19" s="4">
        <v>46</v>
      </c>
      <c r="O19" s="4">
        <v>50</v>
      </c>
      <c r="P19" s="4">
        <v>67</v>
      </c>
      <c r="Q19" s="4">
        <v>54</v>
      </c>
      <c r="R19" s="4">
        <v>59</v>
      </c>
      <c r="S19" s="4">
        <v>61</v>
      </c>
      <c r="T19" s="4">
        <v>84</v>
      </c>
      <c r="U19" s="4">
        <v>74</v>
      </c>
      <c r="V19" s="4">
        <v>87</v>
      </c>
      <c r="W19" s="4">
        <v>87</v>
      </c>
      <c r="X19" s="4">
        <v>81</v>
      </c>
      <c r="Y19" s="4">
        <v>1281</v>
      </c>
      <c r="Z19" s="4" t="s">
        <v>87</v>
      </c>
      <c r="AA19" s="6">
        <v>1.3513513513513513</v>
      </c>
      <c r="AB19" s="4">
        <v>1.19</v>
      </c>
    </row>
    <row r="20" spans="1:28" x14ac:dyDescent="0.35">
      <c r="A20" s="4" t="s">
        <v>41</v>
      </c>
      <c r="B20" s="4">
        <v>756</v>
      </c>
      <c r="C20" s="4">
        <v>773</v>
      </c>
      <c r="D20" s="4">
        <v>786</v>
      </c>
      <c r="E20" s="4">
        <v>870</v>
      </c>
      <c r="F20" s="4">
        <v>869</v>
      </c>
      <c r="G20" s="4">
        <v>933</v>
      </c>
      <c r="H20" s="4">
        <v>1007</v>
      </c>
      <c r="I20" s="4">
        <v>1026</v>
      </c>
      <c r="J20" s="4">
        <v>971</v>
      </c>
      <c r="K20" s="4">
        <v>1102</v>
      </c>
      <c r="L20" s="4">
        <v>1120</v>
      </c>
      <c r="M20" s="4">
        <v>1139</v>
      </c>
      <c r="N20" s="4">
        <v>1151</v>
      </c>
      <c r="O20" s="4">
        <v>1172</v>
      </c>
      <c r="P20" s="4">
        <v>1283</v>
      </c>
      <c r="Q20" s="4">
        <v>1329</v>
      </c>
      <c r="R20" s="4">
        <v>1392</v>
      </c>
      <c r="S20" s="4">
        <v>1460</v>
      </c>
      <c r="T20" s="4">
        <v>1531</v>
      </c>
      <c r="U20" s="4">
        <v>1576</v>
      </c>
      <c r="V20" s="4">
        <v>1615</v>
      </c>
      <c r="W20" s="4">
        <v>1617</v>
      </c>
      <c r="X20" s="4">
        <v>1749</v>
      </c>
      <c r="Y20" s="4">
        <v>27227</v>
      </c>
      <c r="Z20" s="4" t="s">
        <v>40</v>
      </c>
      <c r="AA20" s="6">
        <v>1.3134920634920635</v>
      </c>
      <c r="AB20" s="4">
        <v>1.31</v>
      </c>
    </row>
    <row r="21" spans="1:28" x14ac:dyDescent="0.35">
      <c r="A21" s="4" t="s">
        <v>61</v>
      </c>
      <c r="B21" s="4">
        <v>3515</v>
      </c>
      <c r="C21" s="4">
        <v>3600</v>
      </c>
      <c r="D21" s="4">
        <v>3686</v>
      </c>
      <c r="E21" s="4">
        <v>3790</v>
      </c>
      <c r="F21" s="4">
        <v>3891</v>
      </c>
      <c r="G21" s="4">
        <v>3983</v>
      </c>
      <c r="H21" s="4">
        <v>4087</v>
      </c>
      <c r="I21" s="4">
        <v>4176</v>
      </c>
      <c r="J21" s="4">
        <v>4300</v>
      </c>
      <c r="K21" s="4">
        <v>4471</v>
      </c>
      <c r="L21" s="4">
        <v>4672</v>
      </c>
      <c r="M21" s="4">
        <v>4859</v>
      </c>
      <c r="N21" s="4">
        <v>4906</v>
      </c>
      <c r="O21" s="4">
        <v>4961</v>
      </c>
      <c r="P21" s="4">
        <v>5038</v>
      </c>
      <c r="Q21" s="4">
        <v>5183</v>
      </c>
      <c r="R21" s="4">
        <v>5389</v>
      </c>
      <c r="S21" s="4">
        <v>5607</v>
      </c>
      <c r="T21" s="4">
        <v>5869</v>
      </c>
      <c r="U21" s="4">
        <v>6165</v>
      </c>
      <c r="V21" s="4">
        <v>6414</v>
      </c>
      <c r="W21" s="4">
        <v>6969</v>
      </c>
      <c r="X21" s="4">
        <v>7650</v>
      </c>
      <c r="Y21" s="4">
        <v>113181</v>
      </c>
      <c r="Z21" s="4" t="s">
        <v>33</v>
      </c>
      <c r="AA21" s="6">
        <v>1.1763869132290186</v>
      </c>
      <c r="AB21" s="4">
        <v>1.18</v>
      </c>
    </row>
    <row r="22" spans="1:28" x14ac:dyDescent="0.35">
      <c r="A22" s="4" t="s">
        <v>56</v>
      </c>
      <c r="B22" s="4">
        <v>4988</v>
      </c>
      <c r="C22" s="4">
        <v>4622</v>
      </c>
      <c r="D22" s="4">
        <v>4752</v>
      </c>
      <c r="E22" s="4">
        <v>4784</v>
      </c>
      <c r="F22" s="4">
        <v>5474</v>
      </c>
      <c r="G22" s="4">
        <v>6277</v>
      </c>
      <c r="H22" s="4">
        <v>6540</v>
      </c>
      <c r="I22" s="4">
        <v>6651</v>
      </c>
      <c r="J22" s="4">
        <v>6787</v>
      </c>
      <c r="K22" s="4">
        <v>6831</v>
      </c>
      <c r="L22" s="4">
        <v>6968</v>
      </c>
      <c r="M22" s="4">
        <v>7005</v>
      </c>
      <c r="N22" s="4">
        <v>7049</v>
      </c>
      <c r="O22" s="4">
        <v>7132</v>
      </c>
      <c r="P22" s="4">
        <v>7244</v>
      </c>
      <c r="Q22" s="4">
        <v>7556</v>
      </c>
      <c r="R22" s="4">
        <v>7742</v>
      </c>
      <c r="S22" s="4">
        <v>8362</v>
      </c>
      <c r="T22" s="4">
        <v>8759</v>
      </c>
      <c r="U22" s="4">
        <v>9790</v>
      </c>
      <c r="V22" s="4">
        <v>10107</v>
      </c>
      <c r="W22" s="4">
        <v>10317</v>
      </c>
      <c r="X22" s="4">
        <v>10808</v>
      </c>
      <c r="Y22" s="4">
        <v>166545</v>
      </c>
      <c r="Z22" s="4" t="s">
        <v>6</v>
      </c>
      <c r="AA22" s="6">
        <v>1.1668003207698476</v>
      </c>
      <c r="AB22" s="4">
        <v>1.17</v>
      </c>
    </row>
    <row r="23" spans="1:28" x14ac:dyDescent="0.35">
      <c r="A23" s="4" t="s">
        <v>88</v>
      </c>
      <c r="B23" s="4">
        <v>1360</v>
      </c>
      <c r="C23" s="4">
        <v>1389</v>
      </c>
      <c r="D23" s="4">
        <v>1414</v>
      </c>
      <c r="E23" s="4">
        <v>1422</v>
      </c>
      <c r="F23" s="4">
        <v>1400</v>
      </c>
      <c r="G23" s="4">
        <v>1400</v>
      </c>
      <c r="H23" s="4">
        <v>1519</v>
      </c>
      <c r="I23" s="4">
        <v>1565</v>
      </c>
      <c r="J23" s="4">
        <v>1592</v>
      </c>
      <c r="K23" s="4">
        <v>1609</v>
      </c>
      <c r="L23" s="4">
        <v>1614</v>
      </c>
      <c r="M23" s="4">
        <v>1631</v>
      </c>
      <c r="N23" s="4">
        <v>1615</v>
      </c>
      <c r="O23" s="4">
        <v>1951</v>
      </c>
      <c r="P23" s="4">
        <v>2273</v>
      </c>
      <c r="Q23" s="4">
        <v>2376</v>
      </c>
      <c r="R23" s="4">
        <v>2460</v>
      </c>
      <c r="S23" s="4">
        <v>2540</v>
      </c>
      <c r="T23" s="4">
        <v>2506</v>
      </c>
      <c r="U23" s="4">
        <v>2595</v>
      </c>
      <c r="V23" s="4">
        <v>2727</v>
      </c>
      <c r="W23" s="4">
        <v>2817</v>
      </c>
      <c r="X23" s="4">
        <v>2875</v>
      </c>
      <c r="Y23" s="4">
        <v>44650</v>
      </c>
      <c r="Z23" s="4" t="s">
        <v>40</v>
      </c>
      <c r="AA23" s="6">
        <v>1.1139705882352942</v>
      </c>
      <c r="AB23" s="4">
        <v>1.1100000000000001</v>
      </c>
    </row>
    <row r="24" spans="1:28" x14ac:dyDescent="0.35">
      <c r="A24" s="4" t="s">
        <v>50</v>
      </c>
      <c r="B24" s="4">
        <v>14</v>
      </c>
      <c r="C24" s="4">
        <v>15</v>
      </c>
      <c r="D24" s="4">
        <v>15</v>
      </c>
      <c r="E24" s="4">
        <v>16</v>
      </c>
      <c r="F24" s="4">
        <v>15</v>
      </c>
      <c r="G24" s="4">
        <v>16</v>
      </c>
      <c r="H24" s="4">
        <v>17</v>
      </c>
      <c r="I24" s="4">
        <v>17</v>
      </c>
      <c r="J24" s="4">
        <v>11</v>
      </c>
      <c r="K24" s="4">
        <v>11</v>
      </c>
      <c r="L24" s="4">
        <v>14</v>
      </c>
      <c r="M24" s="4">
        <v>14</v>
      </c>
      <c r="N24" s="4">
        <v>15</v>
      </c>
      <c r="O24" s="4">
        <v>20</v>
      </c>
      <c r="P24" s="4">
        <v>22</v>
      </c>
      <c r="Q24" s="4">
        <v>24</v>
      </c>
      <c r="R24" s="4">
        <v>25</v>
      </c>
      <c r="S24" s="4">
        <v>26</v>
      </c>
      <c r="T24" s="4">
        <v>24</v>
      </c>
      <c r="U24" s="4">
        <v>25</v>
      </c>
      <c r="V24" s="4">
        <v>25</v>
      </c>
      <c r="W24" s="4">
        <v>24</v>
      </c>
      <c r="X24" s="4">
        <v>25</v>
      </c>
      <c r="Y24" s="4">
        <v>430</v>
      </c>
      <c r="Z24" s="4" t="s">
        <v>87</v>
      </c>
      <c r="AA24" s="6">
        <v>0.8571428571428571</v>
      </c>
      <c r="AB24" s="4">
        <v>0.79</v>
      </c>
    </row>
    <row r="25" spans="1:28" x14ac:dyDescent="0.35">
      <c r="A25" s="4" t="s">
        <v>53</v>
      </c>
      <c r="B25" s="4">
        <v>7932</v>
      </c>
      <c r="C25" s="4">
        <v>8173</v>
      </c>
      <c r="D25" s="4">
        <v>8391</v>
      </c>
      <c r="E25" s="4">
        <v>8554</v>
      </c>
      <c r="F25" s="4">
        <v>8909</v>
      </c>
      <c r="G25" s="4">
        <v>9168</v>
      </c>
      <c r="H25" s="4">
        <v>9282</v>
      </c>
      <c r="I25" s="4">
        <v>9387</v>
      </c>
      <c r="J25" s="4">
        <v>9389</v>
      </c>
      <c r="K25" s="4">
        <v>9423</v>
      </c>
      <c r="L25" s="4">
        <v>9551</v>
      </c>
      <c r="M25" s="4">
        <v>9724</v>
      </c>
      <c r="N25" s="4">
        <v>10011</v>
      </c>
      <c r="O25" s="4">
        <v>10351</v>
      </c>
      <c r="P25" s="4">
        <v>10774</v>
      </c>
      <c r="Q25" s="4">
        <v>11282</v>
      </c>
      <c r="R25" s="4">
        <v>11855</v>
      </c>
      <c r="S25" s="4">
        <v>12599</v>
      </c>
      <c r="T25" s="4">
        <v>13348</v>
      </c>
      <c r="U25" s="4">
        <v>13394</v>
      </c>
      <c r="V25" s="4">
        <v>14077</v>
      </c>
      <c r="W25" s="4">
        <v>14301</v>
      </c>
      <c r="X25" s="4">
        <v>14000</v>
      </c>
      <c r="Y25" s="4">
        <v>243875</v>
      </c>
      <c r="Z25" s="4" t="s">
        <v>40</v>
      </c>
      <c r="AA25" s="6">
        <v>0.80295007564296517</v>
      </c>
      <c r="AB25" s="4">
        <v>0.77</v>
      </c>
    </row>
    <row r="26" spans="1:28" x14ac:dyDescent="0.35">
      <c r="A26" s="4" t="s">
        <v>60</v>
      </c>
      <c r="B26" s="4">
        <v>1066</v>
      </c>
      <c r="C26" s="4">
        <v>1079</v>
      </c>
      <c r="D26" s="4">
        <v>1188</v>
      </c>
      <c r="E26" s="4">
        <v>1195</v>
      </c>
      <c r="F26" s="4">
        <v>1206</v>
      </c>
      <c r="G26" s="4">
        <v>1213</v>
      </c>
      <c r="H26" s="4">
        <v>1221</v>
      </c>
      <c r="I26" s="4">
        <v>1230</v>
      </c>
      <c r="J26" s="4">
        <v>1377</v>
      </c>
      <c r="K26" s="4">
        <v>1383</v>
      </c>
      <c r="L26" s="4">
        <v>1417</v>
      </c>
      <c r="M26" s="4">
        <v>1478</v>
      </c>
      <c r="N26" s="4">
        <v>1550</v>
      </c>
      <c r="O26" s="4">
        <v>1565</v>
      </c>
      <c r="P26" s="4">
        <v>1656</v>
      </c>
      <c r="Q26" s="4">
        <v>1692</v>
      </c>
      <c r="R26" s="4">
        <v>1742</v>
      </c>
      <c r="S26" s="4">
        <v>1792</v>
      </c>
      <c r="T26" s="4">
        <v>1845</v>
      </c>
      <c r="U26" s="4">
        <v>1797</v>
      </c>
      <c r="V26" s="4">
        <v>1856</v>
      </c>
      <c r="W26" s="4">
        <v>1859</v>
      </c>
      <c r="X26" s="4">
        <v>1898</v>
      </c>
      <c r="Y26" s="4">
        <v>34305</v>
      </c>
      <c r="Z26" s="4" t="s">
        <v>40</v>
      </c>
      <c r="AA26" s="6">
        <v>0.78048780487804881</v>
      </c>
      <c r="AB26" s="4">
        <v>0.78</v>
      </c>
    </row>
    <row r="27" spans="1:28" x14ac:dyDescent="0.35">
      <c r="A27" s="4" t="s">
        <v>62</v>
      </c>
      <c r="B27" s="4">
        <v>294</v>
      </c>
      <c r="C27" s="4">
        <v>296</v>
      </c>
      <c r="D27" s="4">
        <v>299</v>
      </c>
      <c r="E27" s="4">
        <v>303</v>
      </c>
      <c r="F27" s="4">
        <v>310</v>
      </c>
      <c r="G27" s="4">
        <v>288</v>
      </c>
      <c r="H27" s="4">
        <v>445</v>
      </c>
      <c r="I27" s="4">
        <v>450</v>
      </c>
      <c r="J27" s="4">
        <v>466</v>
      </c>
      <c r="K27" s="4">
        <v>480</v>
      </c>
      <c r="L27" s="4">
        <v>502</v>
      </c>
      <c r="M27" s="4">
        <v>287</v>
      </c>
      <c r="N27" s="4">
        <v>284</v>
      </c>
      <c r="O27" s="4">
        <v>280</v>
      </c>
      <c r="P27" s="4">
        <v>281</v>
      </c>
      <c r="Q27" s="4">
        <v>279</v>
      </c>
      <c r="R27" s="4">
        <v>279</v>
      </c>
      <c r="S27" s="4">
        <v>300</v>
      </c>
      <c r="T27" s="4">
        <v>300</v>
      </c>
      <c r="U27" s="4">
        <v>450</v>
      </c>
      <c r="V27" s="4">
        <v>450</v>
      </c>
      <c r="W27" s="4">
        <v>488</v>
      </c>
      <c r="X27" s="4">
        <v>488</v>
      </c>
      <c r="Y27" s="4">
        <v>8299</v>
      </c>
      <c r="Z27" s="4" t="s">
        <v>40</v>
      </c>
      <c r="AA27" s="6">
        <v>0.70748299319727892</v>
      </c>
      <c r="AB27" s="4">
        <v>0.66</v>
      </c>
    </row>
    <row r="28" spans="1:28" x14ac:dyDescent="0.35">
      <c r="A28" s="4" t="s">
        <v>31</v>
      </c>
      <c r="B28" s="4">
        <v>682</v>
      </c>
      <c r="C28" s="4">
        <v>705</v>
      </c>
      <c r="D28" s="4">
        <v>727</v>
      </c>
      <c r="E28" s="4">
        <v>739</v>
      </c>
      <c r="F28" s="4">
        <v>747</v>
      </c>
      <c r="G28" s="4">
        <v>750</v>
      </c>
      <c r="H28" s="4">
        <v>752</v>
      </c>
      <c r="I28" s="4">
        <v>753</v>
      </c>
      <c r="J28" s="4">
        <v>756</v>
      </c>
      <c r="K28" s="4">
        <v>790</v>
      </c>
      <c r="L28" s="4">
        <v>796</v>
      </c>
      <c r="M28" s="4">
        <v>800</v>
      </c>
      <c r="N28" s="4">
        <v>815</v>
      </c>
      <c r="O28" s="4">
        <v>829</v>
      </c>
      <c r="P28" s="4">
        <v>843</v>
      </c>
      <c r="Q28" s="4">
        <v>861</v>
      </c>
      <c r="R28" s="4">
        <v>872</v>
      </c>
      <c r="S28" s="4">
        <v>882</v>
      </c>
      <c r="T28" s="4">
        <v>920</v>
      </c>
      <c r="U28" s="4">
        <v>954</v>
      </c>
      <c r="V28" s="4">
        <v>982</v>
      </c>
      <c r="W28" s="4">
        <v>1006</v>
      </c>
      <c r="X28" s="4">
        <v>1092</v>
      </c>
      <c r="Y28" s="4">
        <v>19053</v>
      </c>
      <c r="Z28" s="4" t="s">
        <v>87</v>
      </c>
      <c r="AA28" s="6">
        <v>0.60117302052785926</v>
      </c>
      <c r="AB28" s="4">
        <v>0.6</v>
      </c>
    </row>
    <row r="29" spans="1:28" x14ac:dyDescent="0.35">
      <c r="A29" s="4" t="s">
        <v>36</v>
      </c>
      <c r="B29" s="4">
        <v>45</v>
      </c>
      <c r="C29" s="4">
        <v>46</v>
      </c>
      <c r="D29" s="4">
        <v>48</v>
      </c>
      <c r="E29" s="4">
        <v>57</v>
      </c>
      <c r="F29" s="4">
        <v>56</v>
      </c>
      <c r="G29" s="4">
        <v>57</v>
      </c>
      <c r="H29" s="4">
        <v>58</v>
      </c>
      <c r="I29" s="4">
        <v>59</v>
      </c>
      <c r="J29" s="4">
        <v>59</v>
      </c>
      <c r="K29" s="4">
        <v>60</v>
      </c>
      <c r="L29" s="4">
        <v>60</v>
      </c>
      <c r="M29" s="4">
        <v>61</v>
      </c>
      <c r="N29" s="4">
        <v>68</v>
      </c>
      <c r="O29" s="4">
        <v>67</v>
      </c>
      <c r="P29" s="4">
        <v>54</v>
      </c>
      <c r="Q29" s="4">
        <v>51</v>
      </c>
      <c r="R29" s="4">
        <v>55</v>
      </c>
      <c r="S29" s="4">
        <v>57</v>
      </c>
      <c r="T29" s="4">
        <v>61</v>
      </c>
      <c r="U29" s="4">
        <v>60</v>
      </c>
      <c r="V29" s="4">
        <v>63</v>
      </c>
      <c r="W29" s="4">
        <v>64</v>
      </c>
      <c r="X29" s="4">
        <v>64</v>
      </c>
      <c r="Y29" s="4">
        <v>1330</v>
      </c>
      <c r="Z29" s="4" t="s">
        <v>37</v>
      </c>
      <c r="AA29" s="6">
        <v>0.51111111111111107</v>
      </c>
      <c r="AB29" s="4">
        <v>0.42</v>
      </c>
    </row>
    <row r="30" spans="1:28" x14ac:dyDescent="0.35">
      <c r="A30" s="4" t="s">
        <v>49</v>
      </c>
      <c r="B30" s="4">
        <v>66</v>
      </c>
      <c r="C30" s="4">
        <v>68</v>
      </c>
      <c r="D30" s="4">
        <v>69</v>
      </c>
      <c r="E30" s="4">
        <v>71</v>
      </c>
      <c r="F30" s="4">
        <v>73</v>
      </c>
      <c r="G30" s="4">
        <v>74</v>
      </c>
      <c r="H30" s="4">
        <v>77</v>
      </c>
      <c r="I30" s="4">
        <v>77</v>
      </c>
      <c r="J30" s="4">
        <v>78</v>
      </c>
      <c r="K30" s="4">
        <v>79</v>
      </c>
      <c r="L30" s="4">
        <v>80</v>
      </c>
      <c r="M30" s="4">
        <v>81</v>
      </c>
      <c r="N30" s="4">
        <v>82</v>
      </c>
      <c r="O30" s="4">
        <v>83</v>
      </c>
      <c r="P30" s="4">
        <v>84</v>
      </c>
      <c r="Q30" s="4">
        <v>84</v>
      </c>
      <c r="R30" s="4">
        <v>85</v>
      </c>
      <c r="S30" s="4">
        <v>87</v>
      </c>
      <c r="T30" s="4">
        <v>88</v>
      </c>
      <c r="U30" s="4">
        <v>89</v>
      </c>
      <c r="V30" s="4">
        <v>90</v>
      </c>
      <c r="W30" s="4">
        <v>94</v>
      </c>
      <c r="X30" s="4">
        <v>97</v>
      </c>
      <c r="Y30" s="4">
        <v>1856</v>
      </c>
      <c r="Z30" s="4" t="s">
        <v>87</v>
      </c>
      <c r="AA30" s="6">
        <v>0.46969696969696972</v>
      </c>
      <c r="AB30" s="4">
        <v>0.47</v>
      </c>
    </row>
    <row r="31" spans="1:28" x14ac:dyDescent="0.35">
      <c r="A31" s="4" t="s">
        <v>89</v>
      </c>
      <c r="B31" s="4">
        <v>42</v>
      </c>
      <c r="C31" s="4">
        <v>46</v>
      </c>
      <c r="D31" s="4">
        <v>46</v>
      </c>
      <c r="E31" s="4">
        <v>48</v>
      </c>
      <c r="F31" s="4">
        <v>48</v>
      </c>
      <c r="G31" s="4">
        <v>49</v>
      </c>
      <c r="H31" s="4">
        <v>32</v>
      </c>
      <c r="I31" s="4">
        <v>24</v>
      </c>
      <c r="J31" s="4">
        <v>26</v>
      </c>
      <c r="K31" s="4">
        <v>28</v>
      </c>
      <c r="L31" s="4">
        <v>22</v>
      </c>
      <c r="M31" s="4">
        <v>23</v>
      </c>
      <c r="N31" s="4">
        <v>43</v>
      </c>
      <c r="O31" s="4">
        <v>46</v>
      </c>
      <c r="P31" s="4">
        <v>50</v>
      </c>
      <c r="Q31" s="4">
        <v>53</v>
      </c>
      <c r="R31" s="4">
        <v>54</v>
      </c>
      <c r="S31" s="4">
        <v>55</v>
      </c>
      <c r="T31" s="4">
        <v>61</v>
      </c>
      <c r="U31" s="4">
        <v>44</v>
      </c>
      <c r="V31" s="4">
        <v>46</v>
      </c>
      <c r="W31" s="4">
        <v>46</v>
      </c>
      <c r="X31" s="4">
        <v>20</v>
      </c>
      <c r="Y31" s="4">
        <v>952</v>
      </c>
      <c r="Z31" s="4" t="s">
        <v>87</v>
      </c>
      <c r="AA31" s="6">
        <v>0.45238095238095238</v>
      </c>
      <c r="AB31" s="4">
        <v>-0.52</v>
      </c>
    </row>
    <row r="32" spans="1:28" x14ac:dyDescent="0.35">
      <c r="A32" s="4" t="s">
        <v>51</v>
      </c>
      <c r="B32" s="4">
        <v>57</v>
      </c>
      <c r="C32" s="4">
        <v>58</v>
      </c>
      <c r="D32" s="4">
        <v>63</v>
      </c>
      <c r="E32" s="4">
        <v>69</v>
      </c>
      <c r="F32" s="4">
        <v>74</v>
      </c>
      <c r="G32" s="4">
        <v>67</v>
      </c>
      <c r="H32" s="4">
        <v>45</v>
      </c>
      <c r="I32" s="4">
        <v>53</v>
      </c>
      <c r="J32" s="4">
        <v>78</v>
      </c>
      <c r="K32" s="4">
        <v>76</v>
      </c>
      <c r="L32" s="4">
        <v>78</v>
      </c>
      <c r="M32" s="4">
        <v>79</v>
      </c>
      <c r="N32" s="4">
        <v>81</v>
      </c>
      <c r="O32" s="4">
        <v>76</v>
      </c>
      <c r="P32" s="4">
        <v>77</v>
      </c>
      <c r="Q32" s="4">
        <v>79</v>
      </c>
      <c r="R32" s="4">
        <v>74</v>
      </c>
      <c r="S32" s="4">
        <v>73</v>
      </c>
      <c r="T32" s="4">
        <v>62</v>
      </c>
      <c r="U32" s="4">
        <v>56</v>
      </c>
      <c r="V32" s="4">
        <v>61</v>
      </c>
      <c r="W32" s="4">
        <v>50</v>
      </c>
      <c r="X32" s="4">
        <v>53</v>
      </c>
      <c r="Y32" s="4">
        <v>1539</v>
      </c>
      <c r="Z32" s="4" t="s">
        <v>87</v>
      </c>
      <c r="AA32" s="6">
        <v>0.42105263157894735</v>
      </c>
      <c r="AB32" s="4">
        <v>-7.0000000000000007E-2</v>
      </c>
    </row>
    <row r="33" spans="1:28" x14ac:dyDescent="0.35">
      <c r="A33" s="4" t="s">
        <v>90</v>
      </c>
      <c r="B33" s="4">
        <v>8</v>
      </c>
      <c r="C33" s="4">
        <v>8</v>
      </c>
      <c r="D33" s="4">
        <v>8</v>
      </c>
      <c r="E33" s="4">
        <v>4</v>
      </c>
      <c r="F33" s="4">
        <v>5</v>
      </c>
      <c r="G33" s="4">
        <v>5</v>
      </c>
      <c r="H33" s="4">
        <v>10</v>
      </c>
      <c r="I33" s="4">
        <v>10</v>
      </c>
      <c r="J33" s="4">
        <v>10</v>
      </c>
      <c r="K33" s="4">
        <v>11</v>
      </c>
      <c r="L33" s="4">
        <v>11</v>
      </c>
      <c r="M33" s="4">
        <v>11</v>
      </c>
      <c r="N33" s="4">
        <v>11</v>
      </c>
      <c r="O33" s="4">
        <v>9</v>
      </c>
      <c r="P33" s="4">
        <v>9</v>
      </c>
      <c r="Q33" s="4">
        <v>8</v>
      </c>
      <c r="R33" s="4">
        <v>8</v>
      </c>
      <c r="S33" s="4">
        <v>1</v>
      </c>
      <c r="T33" s="4">
        <v>1</v>
      </c>
      <c r="U33" s="4">
        <v>1</v>
      </c>
      <c r="V33" s="4">
        <v>2</v>
      </c>
      <c r="W33" s="4">
        <v>2</v>
      </c>
      <c r="X33" s="4">
        <v>2</v>
      </c>
      <c r="Y33" s="4">
        <v>155</v>
      </c>
      <c r="Z33" s="4" t="s">
        <v>37</v>
      </c>
      <c r="AA33" s="6">
        <v>0.375</v>
      </c>
      <c r="AB33" s="4">
        <v>-0.75</v>
      </c>
    </row>
    <row r="34" spans="1:28" x14ac:dyDescent="0.35">
      <c r="A34" s="4" t="s">
        <v>91</v>
      </c>
      <c r="B34" s="4">
        <v>37</v>
      </c>
      <c r="C34" s="4">
        <v>37</v>
      </c>
      <c r="D34" s="4">
        <v>40</v>
      </c>
      <c r="E34" s="4">
        <v>41</v>
      </c>
      <c r="F34" s="4">
        <v>43</v>
      </c>
      <c r="G34" s="4">
        <v>45</v>
      </c>
      <c r="H34" s="4">
        <v>46</v>
      </c>
      <c r="I34" s="4">
        <v>46</v>
      </c>
      <c r="J34" s="4">
        <v>46</v>
      </c>
      <c r="K34" s="4">
        <v>47</v>
      </c>
      <c r="L34" s="4">
        <v>45</v>
      </c>
      <c r="M34" s="4">
        <v>47</v>
      </c>
      <c r="N34" s="4">
        <v>47</v>
      </c>
      <c r="O34" s="4">
        <v>48</v>
      </c>
      <c r="P34" s="4">
        <v>48</v>
      </c>
      <c r="Q34" s="4">
        <v>48</v>
      </c>
      <c r="R34" s="4">
        <v>49</v>
      </c>
      <c r="S34" s="4">
        <v>49</v>
      </c>
      <c r="T34" s="4">
        <v>50</v>
      </c>
      <c r="U34" s="4">
        <v>50</v>
      </c>
      <c r="V34" s="4">
        <v>50</v>
      </c>
      <c r="W34" s="4">
        <v>50</v>
      </c>
      <c r="X34" s="4">
        <v>50</v>
      </c>
      <c r="Y34" s="4">
        <v>1059</v>
      </c>
      <c r="Z34" s="4" t="s">
        <v>6</v>
      </c>
      <c r="AA34" s="6">
        <v>0.35135135135135137</v>
      </c>
      <c r="AB34" s="4">
        <v>0.35</v>
      </c>
    </row>
    <row r="35" spans="1:28" x14ac:dyDescent="0.35">
      <c r="A35" s="4" t="s">
        <v>92</v>
      </c>
      <c r="B35" s="4">
        <v>43</v>
      </c>
      <c r="C35" s="4">
        <v>43</v>
      </c>
      <c r="D35" s="4">
        <v>44</v>
      </c>
      <c r="E35" s="4">
        <v>43</v>
      </c>
      <c r="F35" s="4">
        <v>46</v>
      </c>
      <c r="G35" s="4">
        <v>46</v>
      </c>
      <c r="H35" s="4">
        <v>47</v>
      </c>
      <c r="I35" s="4">
        <v>47</v>
      </c>
      <c r="J35" s="4">
        <v>46</v>
      </c>
      <c r="K35" s="4">
        <v>45</v>
      </c>
      <c r="L35" s="4">
        <v>45</v>
      </c>
      <c r="M35" s="4">
        <v>44</v>
      </c>
      <c r="N35" s="4">
        <v>44</v>
      </c>
      <c r="O35" s="4">
        <v>44</v>
      </c>
      <c r="P35" s="4">
        <v>43</v>
      </c>
      <c r="Q35" s="4">
        <v>36</v>
      </c>
      <c r="R35" s="4">
        <v>42</v>
      </c>
      <c r="S35" s="4">
        <v>45</v>
      </c>
      <c r="T35" s="4">
        <v>49</v>
      </c>
      <c r="U35" s="4">
        <v>52</v>
      </c>
      <c r="V35" s="4">
        <v>57</v>
      </c>
      <c r="W35" s="4">
        <v>56</v>
      </c>
      <c r="X35" s="4" t="s">
        <v>93</v>
      </c>
      <c r="Y35" s="4">
        <v>1007</v>
      </c>
      <c r="Z35" s="4" t="s">
        <v>40</v>
      </c>
      <c r="AA35" s="6">
        <v>0.32558139534883723</v>
      </c>
      <c r="AB35" s="4" t="e">
        <v>#VALUE!</v>
      </c>
    </row>
    <row r="36" spans="1:28" x14ac:dyDescent="0.35">
      <c r="A36" s="4" t="s">
        <v>48</v>
      </c>
      <c r="B36" s="4">
        <v>68</v>
      </c>
      <c r="C36" s="4">
        <v>69</v>
      </c>
      <c r="D36" s="4">
        <v>71</v>
      </c>
      <c r="E36" s="4">
        <v>75</v>
      </c>
      <c r="F36" s="4">
        <v>77</v>
      </c>
      <c r="G36" s="4">
        <v>77</v>
      </c>
      <c r="H36" s="4">
        <v>78</v>
      </c>
      <c r="I36" s="4">
        <v>78</v>
      </c>
      <c r="J36" s="4">
        <v>78</v>
      </c>
      <c r="K36" s="4">
        <v>78</v>
      </c>
      <c r="L36" s="4">
        <v>79</v>
      </c>
      <c r="M36" s="4">
        <v>80</v>
      </c>
      <c r="N36" s="4">
        <v>82</v>
      </c>
      <c r="O36" s="4">
        <v>82</v>
      </c>
      <c r="P36" s="4">
        <v>79</v>
      </c>
      <c r="Q36" s="4">
        <v>79</v>
      </c>
      <c r="R36" s="4">
        <v>82</v>
      </c>
      <c r="S36" s="4">
        <v>86</v>
      </c>
      <c r="T36" s="4">
        <v>90</v>
      </c>
      <c r="U36" s="4">
        <v>71</v>
      </c>
      <c r="V36" s="4">
        <v>76</v>
      </c>
      <c r="W36" s="4">
        <v>72</v>
      </c>
      <c r="X36" s="4">
        <v>63</v>
      </c>
      <c r="Y36" s="4">
        <v>1770</v>
      </c>
      <c r="Z36" s="4" t="s">
        <v>87</v>
      </c>
      <c r="AA36" s="6">
        <v>0.3235294117647059</v>
      </c>
      <c r="AB36" s="4">
        <v>-7.0000000000000007E-2</v>
      </c>
    </row>
    <row r="37" spans="1:28" x14ac:dyDescent="0.35">
      <c r="A37" s="4" t="s">
        <v>94</v>
      </c>
      <c r="B37" s="4">
        <v>23</v>
      </c>
      <c r="C37" s="4">
        <v>26</v>
      </c>
      <c r="D37" s="4">
        <v>25</v>
      </c>
      <c r="E37" s="4">
        <v>24</v>
      </c>
      <c r="F37" s="4">
        <v>20</v>
      </c>
      <c r="G37" s="4">
        <v>23</v>
      </c>
      <c r="H37" s="4">
        <v>24</v>
      </c>
      <c r="I37" s="4">
        <v>26</v>
      </c>
      <c r="J37" s="4">
        <v>24</v>
      </c>
      <c r="K37" s="4">
        <v>25</v>
      </c>
      <c r="L37" s="4">
        <v>26</v>
      </c>
      <c r="M37" s="4">
        <v>21</v>
      </c>
      <c r="N37" s="4">
        <v>14</v>
      </c>
      <c r="O37" s="4">
        <v>16</v>
      </c>
      <c r="P37" s="4">
        <v>15</v>
      </c>
      <c r="Q37" s="4">
        <v>16</v>
      </c>
      <c r="R37" s="4">
        <v>17</v>
      </c>
      <c r="S37" s="4">
        <v>18</v>
      </c>
      <c r="T37" s="4">
        <v>19</v>
      </c>
      <c r="U37" s="4">
        <v>15</v>
      </c>
      <c r="V37" s="4">
        <v>17</v>
      </c>
      <c r="W37" s="4">
        <v>17</v>
      </c>
      <c r="X37" s="4">
        <v>18</v>
      </c>
      <c r="Y37" s="4">
        <v>469</v>
      </c>
      <c r="Z37" s="4" t="s">
        <v>85</v>
      </c>
      <c r="AA37" s="6">
        <v>0.13043478260869565</v>
      </c>
      <c r="AB37" s="4">
        <v>-0.22</v>
      </c>
    </row>
    <row r="38" spans="1:28" x14ac:dyDescent="0.35">
      <c r="A38" s="4" t="s">
        <v>45</v>
      </c>
      <c r="B38" s="4">
        <v>2718</v>
      </c>
      <c r="C38" s="4">
        <v>2419</v>
      </c>
      <c r="D38" s="4">
        <v>2111</v>
      </c>
      <c r="E38" s="4">
        <v>2025</v>
      </c>
      <c r="F38" s="4">
        <v>2063</v>
      </c>
      <c r="G38" s="4">
        <v>2119</v>
      </c>
      <c r="H38" s="4">
        <v>2253</v>
      </c>
      <c r="I38" s="4">
        <v>2441</v>
      </c>
      <c r="J38" s="4">
        <v>2509</v>
      </c>
      <c r="K38" s="4">
        <v>2645</v>
      </c>
      <c r="L38" s="4">
        <v>2716</v>
      </c>
      <c r="M38" s="4">
        <v>2791</v>
      </c>
      <c r="N38" s="4">
        <v>2655</v>
      </c>
      <c r="O38" s="4">
        <v>2711</v>
      </c>
      <c r="P38" s="4">
        <v>2650</v>
      </c>
      <c r="Q38" s="4">
        <v>2520</v>
      </c>
      <c r="R38" s="4">
        <v>2576</v>
      </c>
      <c r="S38" s="4">
        <v>2548</v>
      </c>
      <c r="T38" s="4">
        <v>2544</v>
      </c>
      <c r="U38" s="4">
        <v>2534</v>
      </c>
      <c r="V38" s="4">
        <v>2532</v>
      </c>
      <c r="W38" s="4">
        <v>2580</v>
      </c>
      <c r="X38" s="4">
        <v>2580</v>
      </c>
      <c r="Y38" s="4">
        <v>57240</v>
      </c>
      <c r="Z38" s="4" t="s">
        <v>6</v>
      </c>
      <c r="AA38" s="6">
        <v>2.6857983811626195E-2</v>
      </c>
      <c r="AB38" s="4">
        <v>-0.05</v>
      </c>
    </row>
    <row r="39" spans="1:28" x14ac:dyDescent="0.35">
      <c r="A39" s="4" t="s">
        <v>95</v>
      </c>
      <c r="B39" s="4">
        <v>1</v>
      </c>
      <c r="C39" s="4">
        <v>1</v>
      </c>
      <c r="D39" s="4">
        <v>1</v>
      </c>
      <c r="E39" s="4">
        <v>1</v>
      </c>
      <c r="F39" s="4">
        <v>1</v>
      </c>
      <c r="G39" s="4">
        <v>1</v>
      </c>
      <c r="H39" s="4">
        <v>1</v>
      </c>
      <c r="I39" s="4">
        <v>1</v>
      </c>
      <c r="J39" s="4">
        <v>1</v>
      </c>
      <c r="K39" s="4">
        <v>1</v>
      </c>
      <c r="L39" s="4">
        <v>1</v>
      </c>
      <c r="M39" s="4">
        <v>1</v>
      </c>
      <c r="N39" s="4">
        <v>1</v>
      </c>
      <c r="O39" s="4">
        <v>1</v>
      </c>
      <c r="P39" s="4">
        <v>0</v>
      </c>
      <c r="Q39" s="4">
        <v>0</v>
      </c>
      <c r="R39" s="4">
        <v>0</v>
      </c>
      <c r="S39" s="4">
        <v>0</v>
      </c>
      <c r="T39" s="4">
        <v>0</v>
      </c>
      <c r="U39" s="4">
        <v>0</v>
      </c>
      <c r="V39" s="4">
        <v>0</v>
      </c>
      <c r="W39" s="4">
        <v>0</v>
      </c>
      <c r="X39" s="4">
        <v>0</v>
      </c>
      <c r="Y39" s="4">
        <v>14</v>
      </c>
      <c r="Z39" s="4" t="s">
        <v>37</v>
      </c>
      <c r="AA39" s="6">
        <v>0</v>
      </c>
      <c r="AB39" s="4">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9"/>
  <sheetViews>
    <sheetView topLeftCell="A2" workbookViewId="0">
      <selection activeCell="H15" sqref="H15"/>
    </sheetView>
  </sheetViews>
  <sheetFormatPr defaultRowHeight="14.5" x14ac:dyDescent="0.35"/>
  <cols>
    <col min="5" max="5" width="13.54296875" style="15" bestFit="1" customWidth="1"/>
    <col min="6" max="6" width="14" bestFit="1" customWidth="1"/>
    <col min="7" max="7" width="14.26953125" bestFit="1" customWidth="1"/>
    <col min="8" max="8" width="21.54296875" customWidth="1"/>
    <col min="10" max="10" width="9.36328125" bestFit="1" customWidth="1"/>
  </cols>
  <sheetData>
    <row r="1" spans="1:11" x14ac:dyDescent="0.35">
      <c r="A1" s="1" t="s">
        <v>0</v>
      </c>
      <c r="B1" s="1" t="s">
        <v>1</v>
      </c>
      <c r="C1" s="1" t="s">
        <v>2</v>
      </c>
      <c r="D1" s="1" t="s">
        <v>3</v>
      </c>
      <c r="E1" s="13" t="s">
        <v>97</v>
      </c>
      <c r="F1" s="3" t="s">
        <v>109</v>
      </c>
    </row>
    <row r="2" spans="1:11" x14ac:dyDescent="0.35">
      <c r="A2" s="1" t="s">
        <v>4</v>
      </c>
      <c r="B2" s="1" t="s">
        <v>5</v>
      </c>
      <c r="C2" s="1" t="s">
        <v>6</v>
      </c>
      <c r="D2" s="1">
        <v>5814</v>
      </c>
      <c r="E2" s="13">
        <v>1.4069487444100448</v>
      </c>
      <c r="F2" s="3">
        <v>0</v>
      </c>
      <c r="H2" s="14">
        <f ca="1">IF(Table1[[#This Row],[Year]]="2001-02", (OFFSET(Table1[[#This Row],[Milk]], 22, 0)-Table1[[#This Row],[Milk]])/Table1[[#This Row],[Milk]], 0)</f>
        <v>1.4069487444100448</v>
      </c>
    </row>
    <row r="3" spans="1:11" x14ac:dyDescent="0.35">
      <c r="A3" s="1" t="s">
        <v>7</v>
      </c>
      <c r="B3" s="1" t="s">
        <v>5</v>
      </c>
      <c r="C3" s="1" t="s">
        <v>6</v>
      </c>
      <c r="D3" s="1">
        <v>6584</v>
      </c>
      <c r="E3" s="13">
        <v>0</v>
      </c>
      <c r="F3" s="3">
        <v>0</v>
      </c>
    </row>
    <row r="4" spans="1:11" x14ac:dyDescent="0.35">
      <c r="A4" s="1" t="s">
        <v>8</v>
      </c>
      <c r="B4" s="1" t="s">
        <v>5</v>
      </c>
      <c r="C4" s="1" t="s">
        <v>6</v>
      </c>
      <c r="D4" s="1">
        <v>6959</v>
      </c>
      <c r="E4" s="13">
        <v>0</v>
      </c>
      <c r="F4" s="3">
        <v>0</v>
      </c>
    </row>
    <row r="5" spans="1:11" x14ac:dyDescent="0.35">
      <c r="A5" s="1" t="s">
        <v>9</v>
      </c>
      <c r="B5" s="1" t="s">
        <v>5</v>
      </c>
      <c r="C5" s="1" t="s">
        <v>6</v>
      </c>
      <c r="D5" s="1">
        <v>7257</v>
      </c>
      <c r="E5" s="13">
        <v>0</v>
      </c>
      <c r="F5" s="3">
        <v>6653.5</v>
      </c>
      <c r="G5" s="10"/>
      <c r="H5" s="8"/>
      <c r="J5" s="7"/>
      <c r="K5" s="7"/>
    </row>
    <row r="6" spans="1:11" x14ac:dyDescent="0.35">
      <c r="A6" s="1" t="s">
        <v>10</v>
      </c>
      <c r="B6" s="1" t="s">
        <v>5</v>
      </c>
      <c r="C6" s="1" t="s">
        <v>6</v>
      </c>
      <c r="D6" s="1">
        <v>7624</v>
      </c>
      <c r="E6" s="13">
        <v>0</v>
      </c>
      <c r="F6" s="3">
        <v>6847.6</v>
      </c>
      <c r="G6" s="10"/>
      <c r="H6" s="8"/>
      <c r="J6" s="7"/>
      <c r="K6" s="7"/>
    </row>
    <row r="7" spans="1:11" x14ac:dyDescent="0.35">
      <c r="A7" s="1" t="s">
        <v>11</v>
      </c>
      <c r="B7" s="1" t="s">
        <v>5</v>
      </c>
      <c r="C7" s="1" t="s">
        <v>6</v>
      </c>
      <c r="D7" s="1">
        <v>7938</v>
      </c>
      <c r="E7" s="13">
        <v>0</v>
      </c>
      <c r="F7" s="3">
        <v>7272.4</v>
      </c>
      <c r="G7" s="10"/>
      <c r="H7" s="8"/>
      <c r="J7" s="7"/>
      <c r="K7" s="7"/>
    </row>
    <row r="8" spans="1:11" x14ac:dyDescent="0.35">
      <c r="A8" s="1" t="s">
        <v>12</v>
      </c>
      <c r="B8" s="1" t="s">
        <v>5</v>
      </c>
      <c r="C8" s="1" t="s">
        <v>6</v>
      </c>
      <c r="D8" s="1">
        <v>8925</v>
      </c>
      <c r="E8" s="13">
        <v>0</v>
      </c>
      <c r="F8" s="3">
        <v>7740.6</v>
      </c>
      <c r="J8" s="7"/>
      <c r="K8" s="7"/>
    </row>
    <row r="9" spans="1:11" x14ac:dyDescent="0.35">
      <c r="A9" s="1" t="s">
        <v>13</v>
      </c>
      <c r="B9" s="1" t="s">
        <v>5</v>
      </c>
      <c r="C9" s="1" t="s">
        <v>6</v>
      </c>
      <c r="D9" s="1">
        <v>9570</v>
      </c>
      <c r="E9" s="13">
        <v>0</v>
      </c>
      <c r="F9" s="3">
        <v>8262.7999999999993</v>
      </c>
      <c r="J9" s="7"/>
      <c r="K9" s="7"/>
    </row>
    <row r="10" spans="1:11" x14ac:dyDescent="0.35">
      <c r="A10" s="1" t="s">
        <v>14</v>
      </c>
      <c r="B10" s="1" t="s">
        <v>5</v>
      </c>
      <c r="C10" s="1" t="s">
        <v>6</v>
      </c>
      <c r="D10" s="1">
        <v>10429</v>
      </c>
      <c r="E10" s="13">
        <v>0</v>
      </c>
      <c r="F10" s="3">
        <v>8897.2000000000007</v>
      </c>
      <c r="J10" s="7"/>
      <c r="K10" s="7"/>
    </row>
    <row r="11" spans="1:11" x14ac:dyDescent="0.35">
      <c r="A11" s="1" t="s">
        <v>15</v>
      </c>
      <c r="B11" s="1" t="s">
        <v>5</v>
      </c>
      <c r="C11" s="1" t="s">
        <v>6</v>
      </c>
      <c r="D11" s="1">
        <v>11203</v>
      </c>
      <c r="E11" s="13">
        <v>0</v>
      </c>
      <c r="F11" s="3">
        <v>9613</v>
      </c>
    </row>
    <row r="12" spans="1:11" x14ac:dyDescent="0.35">
      <c r="A12" s="1" t="s">
        <v>16</v>
      </c>
      <c r="B12" s="1" t="s">
        <v>5</v>
      </c>
      <c r="C12" s="1" t="s">
        <v>6</v>
      </c>
      <c r="D12" s="1">
        <v>12088</v>
      </c>
      <c r="E12" s="13">
        <v>0</v>
      </c>
      <c r="F12" s="3">
        <v>10443</v>
      </c>
    </row>
    <row r="13" spans="1:11" x14ac:dyDescent="0.35">
      <c r="A13" s="1" t="s">
        <v>17</v>
      </c>
      <c r="B13" s="1" t="s">
        <v>5</v>
      </c>
      <c r="C13" s="1" t="s">
        <v>6</v>
      </c>
      <c r="D13" s="1">
        <v>12762</v>
      </c>
      <c r="E13" s="13">
        <v>0</v>
      </c>
      <c r="F13" s="3">
        <v>11210.4</v>
      </c>
    </row>
    <row r="14" spans="1:11" x14ac:dyDescent="0.35">
      <c r="A14" s="1" t="s">
        <v>18</v>
      </c>
      <c r="B14" s="1" t="s">
        <v>5</v>
      </c>
      <c r="C14" s="1" t="s">
        <v>6</v>
      </c>
      <c r="D14" s="1">
        <v>13007</v>
      </c>
      <c r="E14" s="13">
        <v>0</v>
      </c>
      <c r="F14" s="3">
        <v>11897.8</v>
      </c>
    </row>
    <row r="15" spans="1:11" x14ac:dyDescent="0.35">
      <c r="A15" s="1" t="s">
        <v>19</v>
      </c>
      <c r="B15" s="1" t="s">
        <v>5</v>
      </c>
      <c r="C15" s="1" t="s">
        <v>6</v>
      </c>
      <c r="D15" s="1">
        <v>9656</v>
      </c>
      <c r="E15" s="13">
        <v>0</v>
      </c>
      <c r="F15" s="3">
        <v>11743.2</v>
      </c>
    </row>
    <row r="16" spans="1:11" x14ac:dyDescent="0.35">
      <c r="A16" s="1" t="s">
        <v>20</v>
      </c>
      <c r="B16" s="1" t="s">
        <v>5</v>
      </c>
      <c r="C16" s="1" t="s">
        <v>6</v>
      </c>
      <c r="D16" s="1">
        <v>10817</v>
      </c>
      <c r="E16" s="13">
        <v>0</v>
      </c>
      <c r="F16" s="3">
        <v>11666</v>
      </c>
    </row>
    <row r="17" spans="1:6" x14ac:dyDescent="0.35">
      <c r="A17" s="1" t="s">
        <v>21</v>
      </c>
      <c r="B17" s="1" t="s">
        <v>5</v>
      </c>
      <c r="C17" s="1" t="s">
        <v>6</v>
      </c>
      <c r="D17" s="1">
        <v>12178</v>
      </c>
      <c r="E17" s="13">
        <v>0</v>
      </c>
      <c r="F17" s="3">
        <v>11684</v>
      </c>
    </row>
    <row r="18" spans="1:6" x14ac:dyDescent="0.35">
      <c r="A18" s="1" t="s">
        <v>22</v>
      </c>
      <c r="B18" s="1" t="s">
        <v>5</v>
      </c>
      <c r="C18" s="1" t="s">
        <v>6</v>
      </c>
      <c r="D18" s="1">
        <v>13725</v>
      </c>
      <c r="E18" s="13">
        <v>0</v>
      </c>
      <c r="F18" s="3">
        <v>11876.6</v>
      </c>
    </row>
    <row r="19" spans="1:6" x14ac:dyDescent="0.35">
      <c r="A19" s="1" t="s">
        <v>23</v>
      </c>
      <c r="B19" s="1" t="s">
        <v>5</v>
      </c>
      <c r="C19" s="1" t="s">
        <v>6</v>
      </c>
      <c r="D19" s="1">
        <v>15044</v>
      </c>
      <c r="E19" s="13">
        <v>0</v>
      </c>
      <c r="F19" s="3">
        <v>12284</v>
      </c>
    </row>
    <row r="20" spans="1:6" x14ac:dyDescent="0.35">
      <c r="A20" s="1" t="s">
        <v>24</v>
      </c>
      <c r="B20" s="1" t="s">
        <v>5</v>
      </c>
      <c r="C20" s="1" t="s">
        <v>6</v>
      </c>
      <c r="D20" s="1">
        <v>15263</v>
      </c>
      <c r="E20" s="13">
        <v>0</v>
      </c>
      <c r="F20" s="3">
        <v>13405.4</v>
      </c>
    </row>
    <row r="21" spans="1:6" x14ac:dyDescent="0.35">
      <c r="A21" s="1" t="s">
        <v>25</v>
      </c>
      <c r="B21" s="1" t="s">
        <v>5</v>
      </c>
      <c r="C21" s="1" t="s">
        <v>6</v>
      </c>
      <c r="D21" s="1">
        <v>14714</v>
      </c>
      <c r="E21" s="13">
        <v>0</v>
      </c>
      <c r="F21" s="3">
        <v>14184.8</v>
      </c>
    </row>
    <row r="22" spans="1:6" x14ac:dyDescent="0.35">
      <c r="A22" s="1" t="s">
        <v>26</v>
      </c>
      <c r="B22" s="1" t="s">
        <v>5</v>
      </c>
      <c r="C22" s="1" t="s">
        <v>6</v>
      </c>
      <c r="D22" s="1">
        <v>15403</v>
      </c>
      <c r="E22" s="13">
        <v>0</v>
      </c>
      <c r="F22" s="3">
        <v>14829.8</v>
      </c>
    </row>
    <row r="23" spans="1:6" x14ac:dyDescent="0.35">
      <c r="A23" s="1" t="s">
        <v>27</v>
      </c>
      <c r="B23" s="1" t="s">
        <v>5</v>
      </c>
      <c r="C23" s="1" t="s">
        <v>6</v>
      </c>
      <c r="D23" s="1">
        <v>15448</v>
      </c>
      <c r="E23" s="13">
        <v>0</v>
      </c>
      <c r="F23" s="3">
        <v>15174.4</v>
      </c>
    </row>
    <row r="24" spans="1:6" x14ac:dyDescent="0.35">
      <c r="A24" s="1" t="s">
        <v>28</v>
      </c>
      <c r="B24" s="1" t="s">
        <v>5</v>
      </c>
      <c r="C24" s="1" t="s">
        <v>6</v>
      </c>
      <c r="D24" s="1">
        <v>13994</v>
      </c>
      <c r="E24" s="13">
        <v>0</v>
      </c>
      <c r="F24" s="3">
        <v>14964.4</v>
      </c>
    </row>
    <row r="25" spans="1:6" x14ac:dyDescent="0.35">
      <c r="A25" s="1" t="s">
        <v>4</v>
      </c>
      <c r="B25" s="1" t="s">
        <v>29</v>
      </c>
      <c r="C25" s="1" t="s">
        <v>30</v>
      </c>
      <c r="D25" s="1">
        <v>42</v>
      </c>
      <c r="E25" s="13">
        <v>-0.52380952380952384</v>
      </c>
      <c r="F25" s="3">
        <v>11920.2</v>
      </c>
    </row>
    <row r="26" spans="1:6" x14ac:dyDescent="0.35">
      <c r="A26" s="1" t="s">
        <v>7</v>
      </c>
      <c r="B26" s="1" t="s">
        <v>29</v>
      </c>
      <c r="C26" s="1" t="s">
        <v>30</v>
      </c>
      <c r="D26" s="1">
        <v>46</v>
      </c>
      <c r="E26" s="13">
        <v>0</v>
      </c>
      <c r="F26" s="3">
        <v>8986.6</v>
      </c>
    </row>
    <row r="27" spans="1:6" x14ac:dyDescent="0.35">
      <c r="A27" s="1" t="s">
        <v>8</v>
      </c>
      <c r="B27" s="1" t="s">
        <v>29</v>
      </c>
      <c r="C27" s="1" t="s">
        <v>30</v>
      </c>
      <c r="D27" s="1">
        <v>46</v>
      </c>
      <c r="E27" s="13">
        <v>0</v>
      </c>
      <c r="F27" s="3">
        <v>5915.2</v>
      </c>
    </row>
    <row r="28" spans="1:6" x14ac:dyDescent="0.35">
      <c r="A28" s="1" t="s">
        <v>9</v>
      </c>
      <c r="B28" s="1" t="s">
        <v>29</v>
      </c>
      <c r="C28" s="1" t="s">
        <v>30</v>
      </c>
      <c r="D28" s="1">
        <v>48</v>
      </c>
      <c r="E28" s="13">
        <v>0</v>
      </c>
      <c r="F28" s="3">
        <v>2835.2</v>
      </c>
    </row>
    <row r="29" spans="1:6" x14ac:dyDescent="0.35">
      <c r="A29" s="1" t="s">
        <v>10</v>
      </c>
      <c r="B29" s="1" t="s">
        <v>29</v>
      </c>
      <c r="C29" s="1" t="s">
        <v>30</v>
      </c>
      <c r="D29" s="1">
        <v>48</v>
      </c>
      <c r="E29" s="13">
        <v>0</v>
      </c>
      <c r="F29" s="3">
        <v>46</v>
      </c>
    </row>
    <row r="30" spans="1:6" x14ac:dyDescent="0.35">
      <c r="A30" s="1" t="s">
        <v>11</v>
      </c>
      <c r="B30" s="1" t="s">
        <v>29</v>
      </c>
      <c r="C30" s="1" t="s">
        <v>30</v>
      </c>
      <c r="D30" s="1">
        <v>49</v>
      </c>
      <c r="E30" s="13">
        <v>0</v>
      </c>
      <c r="F30" s="3">
        <v>47.4</v>
      </c>
    </row>
    <row r="31" spans="1:6" x14ac:dyDescent="0.35">
      <c r="A31" s="1" t="s">
        <v>12</v>
      </c>
      <c r="B31" s="1" t="s">
        <v>29</v>
      </c>
      <c r="C31" s="1" t="s">
        <v>30</v>
      </c>
      <c r="D31" s="1">
        <v>32</v>
      </c>
      <c r="E31" s="13">
        <v>0</v>
      </c>
      <c r="F31" s="3">
        <v>44.6</v>
      </c>
    </row>
    <row r="32" spans="1:6" x14ac:dyDescent="0.35">
      <c r="A32" s="1" t="s">
        <v>13</v>
      </c>
      <c r="B32" s="1" t="s">
        <v>29</v>
      </c>
      <c r="C32" s="1" t="s">
        <v>30</v>
      </c>
      <c r="D32" s="1">
        <v>24</v>
      </c>
      <c r="E32" s="13">
        <v>0</v>
      </c>
      <c r="F32" s="3">
        <v>40.200000000000003</v>
      </c>
    </row>
    <row r="33" spans="1:6" x14ac:dyDescent="0.35">
      <c r="A33" s="1" t="s">
        <v>14</v>
      </c>
      <c r="B33" s="1" t="s">
        <v>29</v>
      </c>
      <c r="C33" s="1" t="s">
        <v>30</v>
      </c>
      <c r="D33" s="1">
        <v>26</v>
      </c>
      <c r="E33" s="13">
        <v>0</v>
      </c>
      <c r="F33" s="3">
        <v>35.799999999999997</v>
      </c>
    </row>
    <row r="34" spans="1:6" x14ac:dyDescent="0.35">
      <c r="A34" s="1" t="s">
        <v>15</v>
      </c>
      <c r="B34" s="1" t="s">
        <v>29</v>
      </c>
      <c r="C34" s="1" t="s">
        <v>30</v>
      </c>
      <c r="D34" s="1">
        <v>28</v>
      </c>
      <c r="E34" s="13">
        <v>0</v>
      </c>
      <c r="F34" s="3">
        <v>31.8</v>
      </c>
    </row>
    <row r="35" spans="1:6" x14ac:dyDescent="0.35">
      <c r="A35" s="1" t="s">
        <v>16</v>
      </c>
      <c r="B35" s="1" t="s">
        <v>29</v>
      </c>
      <c r="C35" s="1" t="s">
        <v>30</v>
      </c>
      <c r="D35" s="1">
        <v>22</v>
      </c>
      <c r="E35" s="13">
        <v>0</v>
      </c>
      <c r="F35" s="3">
        <v>26.4</v>
      </c>
    </row>
    <row r="36" spans="1:6" x14ac:dyDescent="0.35">
      <c r="A36" s="1" t="s">
        <v>17</v>
      </c>
      <c r="B36" s="1" t="s">
        <v>29</v>
      </c>
      <c r="C36" s="1" t="s">
        <v>30</v>
      </c>
      <c r="D36" s="1">
        <v>23</v>
      </c>
      <c r="E36" s="13">
        <v>0</v>
      </c>
      <c r="F36" s="3">
        <v>24.6</v>
      </c>
    </row>
    <row r="37" spans="1:6" x14ac:dyDescent="0.35">
      <c r="A37" s="1" t="s">
        <v>18</v>
      </c>
      <c r="B37" s="1" t="s">
        <v>29</v>
      </c>
      <c r="C37" s="1" t="s">
        <v>30</v>
      </c>
      <c r="D37" s="1">
        <v>43</v>
      </c>
      <c r="E37" s="13">
        <v>0</v>
      </c>
      <c r="F37" s="3">
        <v>28.4</v>
      </c>
    </row>
    <row r="38" spans="1:6" x14ac:dyDescent="0.35">
      <c r="A38" s="1" t="s">
        <v>19</v>
      </c>
      <c r="B38" s="1" t="s">
        <v>29</v>
      </c>
      <c r="C38" s="1" t="s">
        <v>30</v>
      </c>
      <c r="D38" s="1">
        <v>46</v>
      </c>
      <c r="E38" s="13">
        <v>0</v>
      </c>
      <c r="F38" s="3">
        <v>32.4</v>
      </c>
    </row>
    <row r="39" spans="1:6" x14ac:dyDescent="0.35">
      <c r="A39" s="1" t="s">
        <v>20</v>
      </c>
      <c r="B39" s="1" t="s">
        <v>29</v>
      </c>
      <c r="C39" s="1" t="s">
        <v>30</v>
      </c>
      <c r="D39" s="1">
        <v>50</v>
      </c>
      <c r="E39" s="13">
        <v>0</v>
      </c>
      <c r="F39" s="3">
        <v>36.799999999999997</v>
      </c>
    </row>
    <row r="40" spans="1:6" x14ac:dyDescent="0.35">
      <c r="A40" s="1" t="s">
        <v>21</v>
      </c>
      <c r="B40" s="1" t="s">
        <v>29</v>
      </c>
      <c r="C40" s="1" t="s">
        <v>30</v>
      </c>
      <c r="D40" s="1">
        <v>53</v>
      </c>
      <c r="E40" s="13">
        <v>0</v>
      </c>
      <c r="F40" s="3">
        <v>43</v>
      </c>
    </row>
    <row r="41" spans="1:6" x14ac:dyDescent="0.35">
      <c r="A41" s="1" t="s">
        <v>22</v>
      </c>
      <c r="B41" s="1" t="s">
        <v>29</v>
      </c>
      <c r="C41" s="1" t="s">
        <v>30</v>
      </c>
      <c r="D41" s="1">
        <v>54</v>
      </c>
      <c r="E41" s="13">
        <v>0</v>
      </c>
      <c r="F41" s="3">
        <v>49.2</v>
      </c>
    </row>
    <row r="42" spans="1:6" x14ac:dyDescent="0.35">
      <c r="A42" s="1" t="s">
        <v>23</v>
      </c>
      <c r="B42" s="1" t="s">
        <v>29</v>
      </c>
      <c r="C42" s="1" t="s">
        <v>30</v>
      </c>
      <c r="D42" s="1">
        <v>55</v>
      </c>
      <c r="E42" s="13">
        <v>0</v>
      </c>
      <c r="F42" s="3">
        <v>51.6</v>
      </c>
    </row>
    <row r="43" spans="1:6" x14ac:dyDescent="0.35">
      <c r="A43" s="1" t="s">
        <v>24</v>
      </c>
      <c r="B43" s="1" t="s">
        <v>29</v>
      </c>
      <c r="C43" s="1" t="s">
        <v>30</v>
      </c>
      <c r="D43" s="1">
        <v>61</v>
      </c>
      <c r="E43" s="13">
        <v>0</v>
      </c>
      <c r="F43" s="3">
        <v>54.6</v>
      </c>
    </row>
    <row r="44" spans="1:6" x14ac:dyDescent="0.35">
      <c r="A44" s="1" t="s">
        <v>25</v>
      </c>
      <c r="B44" s="1" t="s">
        <v>29</v>
      </c>
      <c r="C44" s="1" t="s">
        <v>30</v>
      </c>
      <c r="D44" s="1">
        <v>44</v>
      </c>
      <c r="E44" s="13">
        <v>0</v>
      </c>
      <c r="F44" s="3">
        <v>53.4</v>
      </c>
    </row>
    <row r="45" spans="1:6" x14ac:dyDescent="0.35">
      <c r="A45" s="1" t="s">
        <v>26</v>
      </c>
      <c r="B45" s="1" t="s">
        <v>29</v>
      </c>
      <c r="C45" s="1" t="s">
        <v>30</v>
      </c>
      <c r="D45" s="1">
        <v>46</v>
      </c>
      <c r="E45" s="13">
        <v>0</v>
      </c>
      <c r="F45" s="3">
        <v>52</v>
      </c>
    </row>
    <row r="46" spans="1:6" x14ac:dyDescent="0.35">
      <c r="A46" s="1" t="s">
        <v>27</v>
      </c>
      <c r="B46" s="1" t="s">
        <v>29</v>
      </c>
      <c r="C46" s="1" t="s">
        <v>30</v>
      </c>
      <c r="D46" s="1">
        <v>46</v>
      </c>
      <c r="E46" s="13">
        <v>0</v>
      </c>
      <c r="F46" s="3">
        <v>50.4</v>
      </c>
    </row>
    <row r="47" spans="1:6" x14ac:dyDescent="0.35">
      <c r="A47" s="1" t="s">
        <v>28</v>
      </c>
      <c r="B47" s="1" t="s">
        <v>29</v>
      </c>
      <c r="C47" s="1" t="s">
        <v>30</v>
      </c>
      <c r="D47" s="1">
        <v>20</v>
      </c>
      <c r="E47" s="13">
        <v>0</v>
      </c>
      <c r="F47" s="3">
        <v>43.4</v>
      </c>
    </row>
    <row r="48" spans="1:6" x14ac:dyDescent="0.35">
      <c r="A48" s="1" t="s">
        <v>4</v>
      </c>
      <c r="B48" s="1" t="s">
        <v>31</v>
      </c>
      <c r="C48" s="1" t="s">
        <v>30</v>
      </c>
      <c r="D48" s="1">
        <v>682</v>
      </c>
      <c r="E48" s="13">
        <v>0.60117302052785926</v>
      </c>
      <c r="F48" s="3">
        <v>167.6</v>
      </c>
    </row>
    <row r="49" spans="1:6" x14ac:dyDescent="0.35">
      <c r="A49" s="1" t="s">
        <v>7</v>
      </c>
      <c r="B49" s="1" t="s">
        <v>31</v>
      </c>
      <c r="C49" s="1" t="s">
        <v>30</v>
      </c>
      <c r="D49" s="1">
        <v>705</v>
      </c>
      <c r="E49" s="13">
        <v>0</v>
      </c>
      <c r="F49" s="3">
        <v>299.8</v>
      </c>
    </row>
    <row r="50" spans="1:6" x14ac:dyDescent="0.35">
      <c r="A50" s="1" t="s">
        <v>8</v>
      </c>
      <c r="B50" s="1" t="s">
        <v>31</v>
      </c>
      <c r="C50" s="1" t="s">
        <v>30</v>
      </c>
      <c r="D50" s="1">
        <v>727</v>
      </c>
      <c r="E50" s="13">
        <v>0</v>
      </c>
      <c r="F50" s="3">
        <v>436</v>
      </c>
    </row>
    <row r="51" spans="1:6" x14ac:dyDescent="0.35">
      <c r="A51" s="1" t="s">
        <v>9</v>
      </c>
      <c r="B51" s="1" t="s">
        <v>31</v>
      </c>
      <c r="C51" s="1" t="s">
        <v>30</v>
      </c>
      <c r="D51" s="1">
        <v>739</v>
      </c>
      <c r="E51" s="13">
        <v>0</v>
      </c>
      <c r="F51" s="3">
        <v>574.6</v>
      </c>
    </row>
    <row r="52" spans="1:6" x14ac:dyDescent="0.35">
      <c r="A52" s="1" t="s">
        <v>10</v>
      </c>
      <c r="B52" s="1" t="s">
        <v>31</v>
      </c>
      <c r="C52" s="1" t="s">
        <v>30</v>
      </c>
      <c r="D52" s="1">
        <v>747</v>
      </c>
      <c r="E52" s="13">
        <v>0</v>
      </c>
      <c r="F52" s="3">
        <v>720</v>
      </c>
    </row>
    <row r="53" spans="1:6" x14ac:dyDescent="0.35">
      <c r="A53" s="1" t="s">
        <v>11</v>
      </c>
      <c r="B53" s="1" t="s">
        <v>31</v>
      </c>
      <c r="C53" s="1" t="s">
        <v>30</v>
      </c>
      <c r="D53" s="1">
        <v>750</v>
      </c>
      <c r="E53" s="13">
        <v>0</v>
      </c>
      <c r="F53" s="3">
        <v>733.6</v>
      </c>
    </row>
    <row r="54" spans="1:6" x14ac:dyDescent="0.35">
      <c r="A54" s="1" t="s">
        <v>12</v>
      </c>
      <c r="B54" s="1" t="s">
        <v>31</v>
      </c>
      <c r="C54" s="1" t="s">
        <v>30</v>
      </c>
      <c r="D54" s="1">
        <v>752</v>
      </c>
      <c r="E54" s="13">
        <v>0</v>
      </c>
      <c r="F54" s="3">
        <v>743</v>
      </c>
    </row>
    <row r="55" spans="1:6" x14ac:dyDescent="0.35">
      <c r="A55" s="1" t="s">
        <v>13</v>
      </c>
      <c r="B55" s="1" t="s">
        <v>31</v>
      </c>
      <c r="C55" s="1" t="s">
        <v>30</v>
      </c>
      <c r="D55" s="1">
        <v>753</v>
      </c>
      <c r="E55" s="13">
        <v>0</v>
      </c>
      <c r="F55" s="3">
        <v>748.2</v>
      </c>
    </row>
    <row r="56" spans="1:6" x14ac:dyDescent="0.35">
      <c r="A56" s="1" t="s">
        <v>14</v>
      </c>
      <c r="B56" s="1" t="s">
        <v>31</v>
      </c>
      <c r="C56" s="1" t="s">
        <v>30</v>
      </c>
      <c r="D56" s="1">
        <v>756</v>
      </c>
      <c r="E56" s="13">
        <v>0</v>
      </c>
      <c r="F56" s="3">
        <v>751.6</v>
      </c>
    </row>
    <row r="57" spans="1:6" x14ac:dyDescent="0.35">
      <c r="A57" s="1" t="s">
        <v>15</v>
      </c>
      <c r="B57" s="1" t="s">
        <v>31</v>
      </c>
      <c r="C57" s="1" t="s">
        <v>30</v>
      </c>
      <c r="D57" s="1">
        <v>790</v>
      </c>
      <c r="E57" s="13">
        <v>0</v>
      </c>
      <c r="F57" s="3">
        <v>760.2</v>
      </c>
    </row>
    <row r="58" spans="1:6" x14ac:dyDescent="0.35">
      <c r="A58" s="1" t="s">
        <v>16</v>
      </c>
      <c r="B58" s="1" t="s">
        <v>31</v>
      </c>
      <c r="C58" s="1" t="s">
        <v>30</v>
      </c>
      <c r="D58" s="1">
        <v>796</v>
      </c>
      <c r="E58" s="13">
        <v>0</v>
      </c>
      <c r="F58" s="3">
        <v>769.4</v>
      </c>
    </row>
    <row r="59" spans="1:6" x14ac:dyDescent="0.35">
      <c r="A59" s="1" t="s">
        <v>17</v>
      </c>
      <c r="B59" s="1" t="s">
        <v>31</v>
      </c>
      <c r="C59" s="1" t="s">
        <v>30</v>
      </c>
      <c r="D59" s="1">
        <v>800</v>
      </c>
      <c r="E59" s="13">
        <v>0</v>
      </c>
      <c r="F59" s="3">
        <v>779</v>
      </c>
    </row>
    <row r="60" spans="1:6" x14ac:dyDescent="0.35">
      <c r="A60" s="1" t="s">
        <v>18</v>
      </c>
      <c r="B60" s="1" t="s">
        <v>31</v>
      </c>
      <c r="C60" s="1" t="s">
        <v>30</v>
      </c>
      <c r="D60" s="1">
        <v>815</v>
      </c>
      <c r="E60" s="13">
        <v>0</v>
      </c>
      <c r="F60" s="3">
        <v>791.4</v>
      </c>
    </row>
    <row r="61" spans="1:6" x14ac:dyDescent="0.35">
      <c r="A61" s="1" t="s">
        <v>19</v>
      </c>
      <c r="B61" s="1" t="s">
        <v>31</v>
      </c>
      <c r="C61" s="1" t="s">
        <v>30</v>
      </c>
      <c r="D61" s="1">
        <v>829</v>
      </c>
      <c r="E61" s="13">
        <v>0</v>
      </c>
      <c r="F61" s="3">
        <v>806</v>
      </c>
    </row>
    <row r="62" spans="1:6" x14ac:dyDescent="0.35">
      <c r="A62" s="1" t="s">
        <v>20</v>
      </c>
      <c r="B62" s="1" t="s">
        <v>31</v>
      </c>
      <c r="C62" s="1" t="s">
        <v>30</v>
      </c>
      <c r="D62" s="1">
        <v>843</v>
      </c>
      <c r="E62" s="13">
        <v>0</v>
      </c>
      <c r="F62" s="3">
        <v>816.6</v>
      </c>
    </row>
    <row r="63" spans="1:6" x14ac:dyDescent="0.35">
      <c r="A63" s="1" t="s">
        <v>21</v>
      </c>
      <c r="B63" s="1" t="s">
        <v>31</v>
      </c>
      <c r="C63" s="1" t="s">
        <v>30</v>
      </c>
      <c r="D63" s="1">
        <v>861</v>
      </c>
      <c r="E63" s="13">
        <v>0</v>
      </c>
      <c r="F63" s="3">
        <v>829.6</v>
      </c>
    </row>
    <row r="64" spans="1:6" x14ac:dyDescent="0.35">
      <c r="A64" s="1" t="s">
        <v>22</v>
      </c>
      <c r="B64" s="1" t="s">
        <v>31</v>
      </c>
      <c r="C64" s="1" t="s">
        <v>30</v>
      </c>
      <c r="D64" s="1">
        <v>872</v>
      </c>
      <c r="E64" s="13">
        <v>0</v>
      </c>
      <c r="F64" s="3">
        <v>844</v>
      </c>
    </row>
    <row r="65" spans="1:6" x14ac:dyDescent="0.35">
      <c r="A65" s="1" t="s">
        <v>23</v>
      </c>
      <c r="B65" s="1" t="s">
        <v>31</v>
      </c>
      <c r="C65" s="1" t="s">
        <v>30</v>
      </c>
      <c r="D65" s="1">
        <v>882</v>
      </c>
      <c r="E65" s="13">
        <v>0</v>
      </c>
      <c r="F65" s="3">
        <v>857.4</v>
      </c>
    </row>
    <row r="66" spans="1:6" x14ac:dyDescent="0.35">
      <c r="A66" s="1" t="s">
        <v>24</v>
      </c>
      <c r="B66" s="1" t="s">
        <v>31</v>
      </c>
      <c r="C66" s="1" t="s">
        <v>30</v>
      </c>
      <c r="D66" s="1">
        <v>920</v>
      </c>
      <c r="E66" s="13">
        <v>0</v>
      </c>
      <c r="F66" s="3">
        <v>875.6</v>
      </c>
    </row>
    <row r="67" spans="1:6" x14ac:dyDescent="0.35">
      <c r="A67" s="1" t="s">
        <v>25</v>
      </c>
      <c r="B67" s="1" t="s">
        <v>31</v>
      </c>
      <c r="C67" s="1" t="s">
        <v>30</v>
      </c>
      <c r="D67" s="1">
        <v>954</v>
      </c>
      <c r="E67" s="13">
        <v>0</v>
      </c>
      <c r="F67" s="3">
        <v>897.8</v>
      </c>
    </row>
    <row r="68" spans="1:6" x14ac:dyDescent="0.35">
      <c r="A68" s="1" t="s">
        <v>26</v>
      </c>
      <c r="B68" s="1" t="s">
        <v>31</v>
      </c>
      <c r="C68" s="1" t="s">
        <v>30</v>
      </c>
      <c r="D68" s="1">
        <v>982</v>
      </c>
      <c r="E68" s="13">
        <v>0</v>
      </c>
      <c r="F68" s="3">
        <v>922</v>
      </c>
    </row>
    <row r="69" spans="1:6" x14ac:dyDescent="0.35">
      <c r="A69" s="1" t="s">
        <v>27</v>
      </c>
      <c r="B69" s="1" t="s">
        <v>31</v>
      </c>
      <c r="C69" s="1" t="s">
        <v>30</v>
      </c>
      <c r="D69" s="1">
        <v>1006</v>
      </c>
      <c r="E69" s="13">
        <v>0</v>
      </c>
      <c r="F69" s="3">
        <v>948.8</v>
      </c>
    </row>
    <row r="70" spans="1:6" x14ac:dyDescent="0.35">
      <c r="A70" s="1" t="s">
        <v>28</v>
      </c>
      <c r="B70" s="1" t="s">
        <v>31</v>
      </c>
      <c r="C70" s="1" t="s">
        <v>30</v>
      </c>
      <c r="D70" s="1">
        <v>1092</v>
      </c>
      <c r="E70" s="13">
        <v>0</v>
      </c>
      <c r="F70" s="3">
        <v>990.8</v>
      </c>
    </row>
    <row r="71" spans="1:6" x14ac:dyDescent="0.35">
      <c r="A71" s="1" t="s">
        <v>4</v>
      </c>
      <c r="B71" s="1" t="s">
        <v>32</v>
      </c>
      <c r="C71" s="1" t="s">
        <v>33</v>
      </c>
      <c r="D71" s="1">
        <v>2664</v>
      </c>
      <c r="E71" s="13">
        <v>3.8246996996996998</v>
      </c>
      <c r="F71" s="3">
        <v>1339.6</v>
      </c>
    </row>
    <row r="72" spans="1:6" x14ac:dyDescent="0.35">
      <c r="A72" s="1" t="s">
        <v>7</v>
      </c>
      <c r="B72" s="1" t="s">
        <v>32</v>
      </c>
      <c r="C72" s="1" t="s">
        <v>33</v>
      </c>
      <c r="D72" s="1">
        <v>2869</v>
      </c>
      <c r="E72" s="13">
        <v>0</v>
      </c>
      <c r="F72" s="3">
        <v>1722.6</v>
      </c>
    </row>
    <row r="73" spans="1:6" x14ac:dyDescent="0.35">
      <c r="A73" s="1" t="s">
        <v>8</v>
      </c>
      <c r="B73" s="1" t="s">
        <v>32</v>
      </c>
      <c r="C73" s="1" t="s">
        <v>33</v>
      </c>
      <c r="D73" s="1">
        <v>3180</v>
      </c>
      <c r="E73" s="13">
        <v>0</v>
      </c>
      <c r="F73" s="3">
        <v>2162.1999999999998</v>
      </c>
    </row>
    <row r="74" spans="1:6" x14ac:dyDescent="0.35">
      <c r="A74" s="1" t="s">
        <v>9</v>
      </c>
      <c r="B74" s="1" t="s">
        <v>32</v>
      </c>
      <c r="C74" s="1" t="s">
        <v>33</v>
      </c>
      <c r="D74" s="1">
        <v>4743</v>
      </c>
      <c r="E74" s="13">
        <v>0</v>
      </c>
      <c r="F74" s="3">
        <v>2909.6</v>
      </c>
    </row>
    <row r="75" spans="1:6" x14ac:dyDescent="0.35">
      <c r="A75" s="1" t="s">
        <v>10</v>
      </c>
      <c r="B75" s="1" t="s">
        <v>32</v>
      </c>
      <c r="C75" s="1" t="s">
        <v>33</v>
      </c>
      <c r="D75" s="1">
        <v>5060</v>
      </c>
      <c r="E75" s="13">
        <v>0</v>
      </c>
      <c r="F75" s="3">
        <v>3703.2</v>
      </c>
    </row>
    <row r="76" spans="1:6" x14ac:dyDescent="0.35">
      <c r="A76" s="1" t="s">
        <v>11</v>
      </c>
      <c r="B76" s="1" t="s">
        <v>32</v>
      </c>
      <c r="C76" s="1" t="s">
        <v>33</v>
      </c>
      <c r="D76" s="1">
        <v>5451</v>
      </c>
      <c r="E76" s="13">
        <v>0</v>
      </c>
      <c r="F76" s="3">
        <v>4260.6000000000004</v>
      </c>
    </row>
    <row r="77" spans="1:6" x14ac:dyDescent="0.35">
      <c r="A77" s="1" t="s">
        <v>12</v>
      </c>
      <c r="B77" s="1" t="s">
        <v>32</v>
      </c>
      <c r="C77" s="1" t="s">
        <v>33</v>
      </c>
      <c r="D77" s="1">
        <v>5783</v>
      </c>
      <c r="E77" s="13">
        <v>0</v>
      </c>
      <c r="F77" s="3">
        <v>4843.3999999999996</v>
      </c>
    </row>
    <row r="78" spans="1:6" x14ac:dyDescent="0.35">
      <c r="A78" s="1" t="s">
        <v>13</v>
      </c>
      <c r="B78" s="1" t="s">
        <v>32</v>
      </c>
      <c r="C78" s="1" t="s">
        <v>33</v>
      </c>
      <c r="D78" s="1">
        <v>5934</v>
      </c>
      <c r="E78" s="13">
        <v>0</v>
      </c>
      <c r="F78" s="3">
        <v>5394.2</v>
      </c>
    </row>
    <row r="79" spans="1:6" x14ac:dyDescent="0.35">
      <c r="A79" s="1" t="s">
        <v>14</v>
      </c>
      <c r="B79" s="1" t="s">
        <v>32</v>
      </c>
      <c r="C79" s="1" t="s">
        <v>33</v>
      </c>
      <c r="D79" s="1">
        <v>6124</v>
      </c>
      <c r="E79" s="13">
        <v>0</v>
      </c>
      <c r="F79" s="3">
        <v>5670.4</v>
      </c>
    </row>
    <row r="80" spans="1:6" x14ac:dyDescent="0.35">
      <c r="A80" s="1" t="s">
        <v>15</v>
      </c>
      <c r="B80" s="1" t="s">
        <v>32</v>
      </c>
      <c r="C80" s="1" t="s">
        <v>33</v>
      </c>
      <c r="D80" s="1">
        <v>6517</v>
      </c>
      <c r="E80" s="13">
        <v>0</v>
      </c>
      <c r="F80" s="3">
        <v>5961.8</v>
      </c>
    </row>
    <row r="81" spans="1:6" x14ac:dyDescent="0.35">
      <c r="A81" s="1" t="s">
        <v>16</v>
      </c>
      <c r="B81" s="1" t="s">
        <v>32</v>
      </c>
      <c r="C81" s="1" t="s">
        <v>33</v>
      </c>
      <c r="D81" s="1">
        <v>6643</v>
      </c>
      <c r="E81" s="13">
        <v>0</v>
      </c>
      <c r="F81" s="3">
        <v>6200.2</v>
      </c>
    </row>
    <row r="82" spans="1:6" x14ac:dyDescent="0.35">
      <c r="A82" s="1" t="s">
        <v>17</v>
      </c>
      <c r="B82" s="1" t="s">
        <v>32</v>
      </c>
      <c r="C82" s="1" t="s">
        <v>33</v>
      </c>
      <c r="D82" s="1">
        <v>6845</v>
      </c>
      <c r="E82" s="13">
        <v>0</v>
      </c>
      <c r="F82" s="3">
        <v>6412.6</v>
      </c>
    </row>
    <row r="83" spans="1:6" x14ac:dyDescent="0.35">
      <c r="A83" s="1" t="s">
        <v>18</v>
      </c>
      <c r="B83" s="1" t="s">
        <v>32</v>
      </c>
      <c r="C83" s="1" t="s">
        <v>33</v>
      </c>
      <c r="D83" s="1">
        <v>7197</v>
      </c>
      <c r="E83" s="13">
        <v>0</v>
      </c>
      <c r="F83" s="3">
        <v>6665.2</v>
      </c>
    </row>
    <row r="84" spans="1:6" x14ac:dyDescent="0.35">
      <c r="A84" s="1" t="s">
        <v>19</v>
      </c>
      <c r="B84" s="1" t="s">
        <v>32</v>
      </c>
      <c r="C84" s="1" t="s">
        <v>33</v>
      </c>
      <c r="D84" s="1">
        <v>7775</v>
      </c>
      <c r="E84" s="13">
        <v>0</v>
      </c>
      <c r="F84" s="3">
        <v>6995.4</v>
      </c>
    </row>
    <row r="85" spans="1:6" x14ac:dyDescent="0.35">
      <c r="A85" s="1" t="s">
        <v>20</v>
      </c>
      <c r="B85" s="1" t="s">
        <v>32</v>
      </c>
      <c r="C85" s="1" t="s">
        <v>33</v>
      </c>
      <c r="D85" s="1">
        <v>8288</v>
      </c>
      <c r="E85" s="13">
        <v>0</v>
      </c>
      <c r="F85" s="3">
        <v>7349.6</v>
      </c>
    </row>
    <row r="86" spans="1:6" x14ac:dyDescent="0.35">
      <c r="A86" s="1" t="s">
        <v>21</v>
      </c>
      <c r="B86" s="1" t="s">
        <v>32</v>
      </c>
      <c r="C86" s="1" t="s">
        <v>33</v>
      </c>
      <c r="D86" s="1">
        <v>8711</v>
      </c>
      <c r="E86" s="13">
        <v>0</v>
      </c>
      <c r="F86" s="3">
        <v>7763.2</v>
      </c>
    </row>
    <row r="87" spans="1:6" x14ac:dyDescent="0.35">
      <c r="A87" s="1" t="s">
        <v>22</v>
      </c>
      <c r="B87" s="1" t="s">
        <v>32</v>
      </c>
      <c r="C87" s="1" t="s">
        <v>33</v>
      </c>
      <c r="D87" s="1">
        <v>9242</v>
      </c>
      <c r="E87" s="13">
        <v>0</v>
      </c>
      <c r="F87" s="3">
        <v>8242.6</v>
      </c>
    </row>
    <row r="88" spans="1:6" x14ac:dyDescent="0.35">
      <c r="A88" s="1" t="s">
        <v>23</v>
      </c>
      <c r="B88" s="1" t="s">
        <v>32</v>
      </c>
      <c r="C88" s="1" t="s">
        <v>33</v>
      </c>
      <c r="D88" s="1">
        <v>9818</v>
      </c>
      <c r="E88" s="13">
        <v>0</v>
      </c>
      <c r="F88" s="3">
        <v>8766.7999999999993</v>
      </c>
    </row>
    <row r="89" spans="1:6" x14ac:dyDescent="0.35">
      <c r="A89" s="1" t="s">
        <v>24</v>
      </c>
      <c r="B89" s="1" t="s">
        <v>32</v>
      </c>
      <c r="C89" s="1" t="s">
        <v>33</v>
      </c>
      <c r="D89" s="1">
        <v>10480</v>
      </c>
      <c r="E89" s="13">
        <v>0</v>
      </c>
      <c r="F89" s="3">
        <v>9307.7999999999993</v>
      </c>
    </row>
    <row r="90" spans="1:6" x14ac:dyDescent="0.35">
      <c r="A90" s="1" t="s">
        <v>25</v>
      </c>
      <c r="B90" s="1" t="s">
        <v>32</v>
      </c>
      <c r="C90" s="1" t="s">
        <v>33</v>
      </c>
      <c r="D90" s="1">
        <v>11502</v>
      </c>
      <c r="E90" s="13">
        <v>0</v>
      </c>
      <c r="F90" s="3">
        <v>9950.6</v>
      </c>
    </row>
    <row r="91" spans="1:6" x14ac:dyDescent="0.35">
      <c r="A91" s="1" t="s">
        <v>26</v>
      </c>
      <c r="B91" s="1" t="s">
        <v>32</v>
      </c>
      <c r="C91" s="1" t="s">
        <v>33</v>
      </c>
      <c r="D91" s="1">
        <v>12253</v>
      </c>
      <c r="E91" s="13">
        <v>0</v>
      </c>
      <c r="F91" s="3">
        <v>10659</v>
      </c>
    </row>
    <row r="92" spans="1:6" x14ac:dyDescent="0.35">
      <c r="A92" s="1" t="s">
        <v>27</v>
      </c>
      <c r="B92" s="1" t="s">
        <v>32</v>
      </c>
      <c r="C92" s="1" t="s">
        <v>33</v>
      </c>
      <c r="D92" s="1">
        <v>12503</v>
      </c>
      <c r="E92" s="13">
        <v>0</v>
      </c>
      <c r="F92" s="3">
        <v>11311.2</v>
      </c>
    </row>
    <row r="93" spans="1:6" x14ac:dyDescent="0.35">
      <c r="A93" s="1" t="s">
        <v>28</v>
      </c>
      <c r="B93" s="1" t="s">
        <v>32</v>
      </c>
      <c r="C93" s="1" t="s">
        <v>33</v>
      </c>
      <c r="D93" s="1">
        <v>12853</v>
      </c>
      <c r="E93" s="13">
        <v>0</v>
      </c>
      <c r="F93" s="3">
        <v>11918.2</v>
      </c>
    </row>
    <row r="94" spans="1:6" x14ac:dyDescent="0.35">
      <c r="A94" s="1" t="s">
        <v>4</v>
      </c>
      <c r="B94" s="1" t="s">
        <v>34</v>
      </c>
      <c r="C94" s="1" t="s">
        <v>35</v>
      </c>
      <c r="D94" s="1">
        <v>795</v>
      </c>
      <c r="E94" s="13">
        <v>1.6716981132075472</v>
      </c>
      <c r="F94" s="3">
        <v>9981.2000000000007</v>
      </c>
    </row>
    <row r="95" spans="1:6" x14ac:dyDescent="0.35">
      <c r="A95" s="1" t="s">
        <v>7</v>
      </c>
      <c r="B95" s="1" t="s">
        <v>34</v>
      </c>
      <c r="C95" s="1" t="s">
        <v>35</v>
      </c>
      <c r="D95" s="1">
        <v>804</v>
      </c>
      <c r="E95" s="13">
        <v>0</v>
      </c>
      <c r="F95" s="3">
        <v>7841.6</v>
      </c>
    </row>
    <row r="96" spans="1:6" x14ac:dyDescent="0.35">
      <c r="A96" s="1" t="s">
        <v>8</v>
      </c>
      <c r="B96" s="1" t="s">
        <v>34</v>
      </c>
      <c r="C96" s="1" t="s">
        <v>35</v>
      </c>
      <c r="D96" s="1">
        <v>812</v>
      </c>
      <c r="E96" s="13">
        <v>0</v>
      </c>
      <c r="F96" s="3">
        <v>5553.4</v>
      </c>
    </row>
    <row r="97" spans="1:6" x14ac:dyDescent="0.35">
      <c r="A97" s="1" t="s">
        <v>9</v>
      </c>
      <c r="B97" s="1" t="s">
        <v>34</v>
      </c>
      <c r="C97" s="1" t="s">
        <v>35</v>
      </c>
      <c r="D97" s="1">
        <v>831</v>
      </c>
      <c r="E97" s="13">
        <v>0</v>
      </c>
      <c r="F97" s="3">
        <v>3219</v>
      </c>
    </row>
    <row r="98" spans="1:6" x14ac:dyDescent="0.35">
      <c r="A98" s="1" t="s">
        <v>10</v>
      </c>
      <c r="B98" s="1" t="s">
        <v>34</v>
      </c>
      <c r="C98" s="1" t="s">
        <v>35</v>
      </c>
      <c r="D98" s="1">
        <v>839</v>
      </c>
      <c r="E98" s="13">
        <v>0</v>
      </c>
      <c r="F98" s="3">
        <v>816.2</v>
      </c>
    </row>
    <row r="99" spans="1:6" x14ac:dyDescent="0.35">
      <c r="A99" s="1" t="s">
        <v>11</v>
      </c>
      <c r="B99" s="1" t="s">
        <v>34</v>
      </c>
      <c r="C99" s="1" t="s">
        <v>35</v>
      </c>
      <c r="D99" s="1">
        <v>849</v>
      </c>
      <c r="E99" s="13">
        <v>0</v>
      </c>
      <c r="F99" s="3">
        <v>827</v>
      </c>
    </row>
    <row r="100" spans="1:6" x14ac:dyDescent="0.35">
      <c r="A100" s="1" t="s">
        <v>12</v>
      </c>
      <c r="B100" s="1" t="s">
        <v>34</v>
      </c>
      <c r="C100" s="1" t="s">
        <v>35</v>
      </c>
      <c r="D100" s="1">
        <v>866</v>
      </c>
      <c r="E100" s="13">
        <v>0</v>
      </c>
      <c r="F100" s="3">
        <v>839.4</v>
      </c>
    </row>
    <row r="101" spans="1:6" x14ac:dyDescent="0.35">
      <c r="A101" s="1" t="s">
        <v>13</v>
      </c>
      <c r="B101" s="1" t="s">
        <v>34</v>
      </c>
      <c r="C101" s="1" t="s">
        <v>35</v>
      </c>
      <c r="D101" s="1">
        <v>908</v>
      </c>
      <c r="E101" s="13">
        <v>0</v>
      </c>
      <c r="F101" s="3">
        <v>858.6</v>
      </c>
    </row>
    <row r="102" spans="1:6" x14ac:dyDescent="0.35">
      <c r="A102" s="1" t="s">
        <v>14</v>
      </c>
      <c r="B102" s="1" t="s">
        <v>34</v>
      </c>
      <c r="C102" s="1" t="s">
        <v>35</v>
      </c>
      <c r="D102" s="1">
        <v>956</v>
      </c>
      <c r="E102" s="13">
        <v>0</v>
      </c>
      <c r="F102" s="3">
        <v>883.6</v>
      </c>
    </row>
    <row r="103" spans="1:6" x14ac:dyDescent="0.35">
      <c r="A103" s="1" t="s">
        <v>15</v>
      </c>
      <c r="B103" s="1" t="s">
        <v>34</v>
      </c>
      <c r="C103" s="1" t="s">
        <v>35</v>
      </c>
      <c r="D103" s="1">
        <v>1029</v>
      </c>
      <c r="E103" s="13">
        <v>0</v>
      </c>
      <c r="F103" s="3">
        <v>921.6</v>
      </c>
    </row>
    <row r="104" spans="1:6" x14ac:dyDescent="0.35">
      <c r="A104" s="1" t="s">
        <v>16</v>
      </c>
      <c r="B104" s="1" t="s">
        <v>34</v>
      </c>
      <c r="C104" s="1" t="s">
        <v>35</v>
      </c>
      <c r="D104" s="1">
        <v>1119</v>
      </c>
      <c r="E104" s="13">
        <v>0</v>
      </c>
      <c r="F104" s="3">
        <v>975.6</v>
      </c>
    </row>
    <row r="105" spans="1:6" x14ac:dyDescent="0.35">
      <c r="A105" s="1" t="s">
        <v>17</v>
      </c>
      <c r="B105" s="1" t="s">
        <v>34</v>
      </c>
      <c r="C105" s="1" t="s">
        <v>35</v>
      </c>
      <c r="D105" s="1">
        <v>1164</v>
      </c>
      <c r="E105" s="13">
        <v>0</v>
      </c>
      <c r="F105" s="3">
        <v>1035.2</v>
      </c>
    </row>
    <row r="106" spans="1:6" x14ac:dyDescent="0.35">
      <c r="A106" s="1" t="s">
        <v>18</v>
      </c>
      <c r="B106" s="1" t="s">
        <v>34</v>
      </c>
      <c r="C106" s="1" t="s">
        <v>35</v>
      </c>
      <c r="D106" s="1">
        <v>1209</v>
      </c>
      <c r="E106" s="13">
        <v>0</v>
      </c>
      <c r="F106" s="3">
        <v>1095.4000000000001</v>
      </c>
    </row>
    <row r="107" spans="1:6" x14ac:dyDescent="0.35">
      <c r="A107" s="1" t="s">
        <v>19</v>
      </c>
      <c r="B107" s="1" t="s">
        <v>34</v>
      </c>
      <c r="C107" s="1" t="s">
        <v>35</v>
      </c>
      <c r="D107" s="1">
        <v>1232</v>
      </c>
      <c r="E107" s="13">
        <v>0</v>
      </c>
      <c r="F107" s="3">
        <v>1150.5999999999999</v>
      </c>
    </row>
    <row r="108" spans="1:6" x14ac:dyDescent="0.35">
      <c r="A108" s="1" t="s">
        <v>20</v>
      </c>
      <c r="B108" s="1" t="s">
        <v>34</v>
      </c>
      <c r="C108" s="1" t="s">
        <v>35</v>
      </c>
      <c r="D108" s="1">
        <v>1277</v>
      </c>
      <c r="E108" s="13">
        <v>0</v>
      </c>
      <c r="F108" s="3">
        <v>1200.2</v>
      </c>
    </row>
    <row r="109" spans="1:6" x14ac:dyDescent="0.35">
      <c r="A109" s="1" t="s">
        <v>21</v>
      </c>
      <c r="B109" s="1" t="s">
        <v>34</v>
      </c>
      <c r="C109" s="1" t="s">
        <v>35</v>
      </c>
      <c r="D109" s="1">
        <v>1374</v>
      </c>
      <c r="E109" s="13">
        <v>0</v>
      </c>
      <c r="F109" s="3">
        <v>1251.2</v>
      </c>
    </row>
    <row r="110" spans="1:6" x14ac:dyDescent="0.35">
      <c r="A110" s="1" t="s">
        <v>22</v>
      </c>
      <c r="B110" s="1" t="s">
        <v>34</v>
      </c>
      <c r="C110" s="1" t="s">
        <v>35</v>
      </c>
      <c r="D110" s="1">
        <v>1469</v>
      </c>
      <c r="E110" s="13">
        <v>0</v>
      </c>
      <c r="F110" s="3">
        <v>1312.2</v>
      </c>
    </row>
    <row r="111" spans="1:6" x14ac:dyDescent="0.35">
      <c r="A111" s="1" t="s">
        <v>23</v>
      </c>
      <c r="B111" s="1" t="s">
        <v>34</v>
      </c>
      <c r="C111" s="1" t="s">
        <v>35</v>
      </c>
      <c r="D111" s="1">
        <v>1567</v>
      </c>
      <c r="E111" s="13">
        <v>0</v>
      </c>
      <c r="F111" s="3">
        <v>1383.8</v>
      </c>
    </row>
    <row r="112" spans="1:6" x14ac:dyDescent="0.35">
      <c r="A112" s="1" t="s">
        <v>24</v>
      </c>
      <c r="B112" s="1" t="s">
        <v>34</v>
      </c>
      <c r="C112" s="1" t="s">
        <v>35</v>
      </c>
      <c r="D112" s="1">
        <v>1676</v>
      </c>
      <c r="E112" s="13">
        <v>0</v>
      </c>
      <c r="F112" s="3">
        <v>1472.6</v>
      </c>
    </row>
    <row r="113" spans="1:6" x14ac:dyDescent="0.35">
      <c r="A113" s="1" t="s">
        <v>25</v>
      </c>
      <c r="B113" s="1" t="s">
        <v>34</v>
      </c>
      <c r="C113" s="1" t="s">
        <v>35</v>
      </c>
      <c r="D113" s="1">
        <v>1747</v>
      </c>
      <c r="E113" s="13">
        <v>0</v>
      </c>
      <c r="F113" s="3">
        <v>1566.6</v>
      </c>
    </row>
    <row r="114" spans="1:6" x14ac:dyDescent="0.35">
      <c r="A114" s="1" t="s">
        <v>26</v>
      </c>
      <c r="B114" s="1" t="s">
        <v>34</v>
      </c>
      <c r="C114" s="1" t="s">
        <v>35</v>
      </c>
      <c r="D114" s="1">
        <v>1848</v>
      </c>
      <c r="E114" s="13">
        <v>0</v>
      </c>
      <c r="F114" s="3">
        <v>1661.4</v>
      </c>
    </row>
    <row r="115" spans="1:6" x14ac:dyDescent="0.35">
      <c r="A115" s="1" t="s">
        <v>27</v>
      </c>
      <c r="B115" s="1" t="s">
        <v>34</v>
      </c>
      <c r="C115" s="1" t="s">
        <v>35</v>
      </c>
      <c r="D115" s="1">
        <v>1956</v>
      </c>
      <c r="E115" s="13">
        <v>0</v>
      </c>
      <c r="F115" s="3">
        <v>1758.8</v>
      </c>
    </row>
    <row r="116" spans="1:6" x14ac:dyDescent="0.35">
      <c r="A116" s="1" t="s">
        <v>28</v>
      </c>
      <c r="B116" s="1" t="s">
        <v>34</v>
      </c>
      <c r="C116" s="1" t="s">
        <v>35</v>
      </c>
      <c r="D116" s="1">
        <v>2124</v>
      </c>
      <c r="E116" s="13">
        <v>0</v>
      </c>
      <c r="F116" s="3">
        <v>1870.2</v>
      </c>
    </row>
    <row r="117" spans="1:6" x14ac:dyDescent="0.35">
      <c r="A117" s="1" t="s">
        <v>4</v>
      </c>
      <c r="B117" s="1" t="s">
        <v>36</v>
      </c>
      <c r="C117" s="1" t="s">
        <v>37</v>
      </c>
      <c r="D117" s="1">
        <v>45</v>
      </c>
      <c r="E117" s="13">
        <v>0.42222222222222222</v>
      </c>
      <c r="F117" s="3">
        <v>1544</v>
      </c>
    </row>
    <row r="118" spans="1:6" x14ac:dyDescent="0.35">
      <c r="A118" s="1" t="s">
        <v>7</v>
      </c>
      <c r="B118" s="1" t="s">
        <v>36</v>
      </c>
      <c r="C118" s="1" t="s">
        <v>37</v>
      </c>
      <c r="D118" s="1">
        <v>46</v>
      </c>
      <c r="E118" s="13">
        <v>0</v>
      </c>
      <c r="F118" s="3">
        <v>1203.8</v>
      </c>
    </row>
    <row r="119" spans="1:6" x14ac:dyDescent="0.35">
      <c r="A119" s="1" t="s">
        <v>8</v>
      </c>
      <c r="B119" s="1" t="s">
        <v>36</v>
      </c>
      <c r="C119" s="1" t="s">
        <v>37</v>
      </c>
      <c r="D119" s="1">
        <v>48</v>
      </c>
      <c r="E119" s="13">
        <v>0</v>
      </c>
      <c r="F119" s="3">
        <v>843.8</v>
      </c>
    </row>
    <row r="120" spans="1:6" x14ac:dyDescent="0.35">
      <c r="A120" s="1" t="s">
        <v>9</v>
      </c>
      <c r="B120" s="1" t="s">
        <v>36</v>
      </c>
      <c r="C120" s="1" t="s">
        <v>37</v>
      </c>
      <c r="D120" s="1">
        <v>57</v>
      </c>
      <c r="E120" s="13">
        <v>0</v>
      </c>
      <c r="F120" s="3">
        <v>464</v>
      </c>
    </row>
    <row r="121" spans="1:6" x14ac:dyDescent="0.35">
      <c r="A121" s="1" t="s">
        <v>10</v>
      </c>
      <c r="B121" s="1" t="s">
        <v>36</v>
      </c>
      <c r="C121" s="1" t="s">
        <v>37</v>
      </c>
      <c r="D121" s="1">
        <v>56</v>
      </c>
      <c r="E121" s="13">
        <v>0</v>
      </c>
      <c r="F121" s="3">
        <v>50.4</v>
      </c>
    </row>
    <row r="122" spans="1:6" x14ac:dyDescent="0.35">
      <c r="A122" s="1" t="s">
        <v>11</v>
      </c>
      <c r="B122" s="1" t="s">
        <v>36</v>
      </c>
      <c r="C122" s="1" t="s">
        <v>37</v>
      </c>
      <c r="D122" s="1">
        <v>57</v>
      </c>
      <c r="E122" s="13">
        <v>0</v>
      </c>
      <c r="F122" s="3">
        <v>52.8</v>
      </c>
    </row>
    <row r="123" spans="1:6" x14ac:dyDescent="0.35">
      <c r="A123" s="1" t="s">
        <v>12</v>
      </c>
      <c r="B123" s="1" t="s">
        <v>36</v>
      </c>
      <c r="C123" s="1" t="s">
        <v>37</v>
      </c>
      <c r="D123" s="1">
        <v>58</v>
      </c>
      <c r="E123" s="13">
        <v>0</v>
      </c>
      <c r="F123" s="3">
        <v>55.2</v>
      </c>
    </row>
    <row r="124" spans="1:6" x14ac:dyDescent="0.35">
      <c r="A124" s="1" t="s">
        <v>13</v>
      </c>
      <c r="B124" s="1" t="s">
        <v>36</v>
      </c>
      <c r="C124" s="1" t="s">
        <v>37</v>
      </c>
      <c r="D124" s="1">
        <v>59</v>
      </c>
      <c r="E124" s="13">
        <v>0</v>
      </c>
      <c r="F124" s="3">
        <v>57.4</v>
      </c>
    </row>
    <row r="125" spans="1:6" x14ac:dyDescent="0.35">
      <c r="A125" s="1" t="s">
        <v>14</v>
      </c>
      <c r="B125" s="1" t="s">
        <v>36</v>
      </c>
      <c r="C125" s="1" t="s">
        <v>37</v>
      </c>
      <c r="D125" s="1">
        <v>59</v>
      </c>
      <c r="E125" s="13">
        <v>0</v>
      </c>
      <c r="F125" s="3">
        <v>57.8</v>
      </c>
    </row>
    <row r="126" spans="1:6" x14ac:dyDescent="0.35">
      <c r="A126" s="1" t="s">
        <v>15</v>
      </c>
      <c r="B126" s="1" t="s">
        <v>36</v>
      </c>
      <c r="C126" s="1" t="s">
        <v>37</v>
      </c>
      <c r="D126" s="1">
        <v>60</v>
      </c>
      <c r="E126" s="13">
        <v>0</v>
      </c>
      <c r="F126" s="3">
        <v>58.6</v>
      </c>
    </row>
    <row r="127" spans="1:6" x14ac:dyDescent="0.35">
      <c r="A127" s="1" t="s">
        <v>16</v>
      </c>
      <c r="B127" s="1" t="s">
        <v>36</v>
      </c>
      <c r="C127" s="1" t="s">
        <v>37</v>
      </c>
      <c r="D127" s="1">
        <v>60</v>
      </c>
      <c r="E127" s="13">
        <v>0</v>
      </c>
      <c r="F127" s="3">
        <v>59.2</v>
      </c>
    </row>
    <row r="128" spans="1:6" x14ac:dyDescent="0.35">
      <c r="A128" s="1" t="s">
        <v>17</v>
      </c>
      <c r="B128" s="1" t="s">
        <v>36</v>
      </c>
      <c r="C128" s="1" t="s">
        <v>37</v>
      </c>
      <c r="D128" s="1">
        <v>61</v>
      </c>
      <c r="E128" s="13">
        <v>0</v>
      </c>
      <c r="F128" s="3">
        <v>59.8</v>
      </c>
    </row>
    <row r="129" spans="1:6" x14ac:dyDescent="0.35">
      <c r="A129" s="1" t="s">
        <v>18</v>
      </c>
      <c r="B129" s="1" t="s">
        <v>36</v>
      </c>
      <c r="C129" s="1" t="s">
        <v>37</v>
      </c>
      <c r="D129" s="1">
        <v>68</v>
      </c>
      <c r="E129" s="13">
        <v>0</v>
      </c>
      <c r="F129" s="3">
        <v>61.6</v>
      </c>
    </row>
    <row r="130" spans="1:6" x14ac:dyDescent="0.35">
      <c r="A130" s="1" t="s">
        <v>19</v>
      </c>
      <c r="B130" s="1" t="s">
        <v>36</v>
      </c>
      <c r="C130" s="1" t="s">
        <v>37</v>
      </c>
      <c r="D130" s="1">
        <v>67</v>
      </c>
      <c r="E130" s="13">
        <v>0</v>
      </c>
      <c r="F130" s="3">
        <v>63.2</v>
      </c>
    </row>
    <row r="131" spans="1:6" x14ac:dyDescent="0.35">
      <c r="A131" s="1" t="s">
        <v>20</v>
      </c>
      <c r="B131" s="1" t="s">
        <v>36</v>
      </c>
      <c r="C131" s="1" t="s">
        <v>37</v>
      </c>
      <c r="D131" s="1">
        <v>54</v>
      </c>
      <c r="E131" s="13">
        <v>0</v>
      </c>
      <c r="F131" s="3">
        <v>62</v>
      </c>
    </row>
    <row r="132" spans="1:6" x14ac:dyDescent="0.35">
      <c r="A132" s="1" t="s">
        <v>21</v>
      </c>
      <c r="B132" s="1" t="s">
        <v>36</v>
      </c>
      <c r="C132" s="1" t="s">
        <v>37</v>
      </c>
      <c r="D132" s="1">
        <v>51</v>
      </c>
      <c r="E132" s="13">
        <v>0</v>
      </c>
      <c r="F132" s="3">
        <v>60.2</v>
      </c>
    </row>
    <row r="133" spans="1:6" x14ac:dyDescent="0.35">
      <c r="A133" s="1" t="s">
        <v>22</v>
      </c>
      <c r="B133" s="1" t="s">
        <v>36</v>
      </c>
      <c r="C133" s="1" t="s">
        <v>37</v>
      </c>
      <c r="D133" s="1">
        <v>55</v>
      </c>
      <c r="E133" s="13">
        <v>0</v>
      </c>
      <c r="F133" s="3">
        <v>59</v>
      </c>
    </row>
    <row r="134" spans="1:6" x14ac:dyDescent="0.35">
      <c r="A134" s="1" t="s">
        <v>23</v>
      </c>
      <c r="B134" s="1" t="s">
        <v>36</v>
      </c>
      <c r="C134" s="1" t="s">
        <v>37</v>
      </c>
      <c r="D134" s="1">
        <v>57</v>
      </c>
      <c r="E134" s="13">
        <v>0</v>
      </c>
      <c r="F134" s="3">
        <v>56.8</v>
      </c>
    </row>
    <row r="135" spans="1:6" x14ac:dyDescent="0.35">
      <c r="A135" s="1" t="s">
        <v>24</v>
      </c>
      <c r="B135" s="1" t="s">
        <v>36</v>
      </c>
      <c r="C135" s="1" t="s">
        <v>37</v>
      </c>
      <c r="D135" s="1">
        <v>61</v>
      </c>
      <c r="E135" s="13">
        <v>0</v>
      </c>
      <c r="F135" s="3">
        <v>55.6</v>
      </c>
    </row>
    <row r="136" spans="1:6" x14ac:dyDescent="0.35">
      <c r="A136" s="1" t="s">
        <v>25</v>
      </c>
      <c r="B136" s="1" t="s">
        <v>36</v>
      </c>
      <c r="C136" s="1" t="s">
        <v>37</v>
      </c>
      <c r="D136" s="1">
        <v>60</v>
      </c>
      <c r="E136" s="13">
        <v>0</v>
      </c>
      <c r="F136" s="3">
        <v>56.8</v>
      </c>
    </row>
    <row r="137" spans="1:6" x14ac:dyDescent="0.35">
      <c r="A137" s="1" t="s">
        <v>26</v>
      </c>
      <c r="B137" s="1" t="s">
        <v>36</v>
      </c>
      <c r="C137" s="1" t="s">
        <v>37</v>
      </c>
      <c r="D137" s="1">
        <v>63</v>
      </c>
      <c r="E137" s="13">
        <v>0</v>
      </c>
      <c r="F137" s="3">
        <v>59.2</v>
      </c>
    </row>
    <row r="138" spans="1:6" x14ac:dyDescent="0.35">
      <c r="A138" s="1" t="s">
        <v>27</v>
      </c>
      <c r="B138" s="1" t="s">
        <v>36</v>
      </c>
      <c r="C138" s="1" t="s">
        <v>37</v>
      </c>
      <c r="D138" s="1">
        <v>64</v>
      </c>
      <c r="E138" s="13">
        <v>0</v>
      </c>
      <c r="F138" s="3">
        <v>61</v>
      </c>
    </row>
    <row r="139" spans="1:6" x14ac:dyDescent="0.35">
      <c r="A139" s="1" t="s">
        <v>28</v>
      </c>
      <c r="B139" s="1" t="s">
        <v>36</v>
      </c>
      <c r="C139" s="1" t="s">
        <v>37</v>
      </c>
      <c r="D139" s="1">
        <v>64</v>
      </c>
      <c r="E139" s="13">
        <v>0</v>
      </c>
      <c r="F139" s="3">
        <v>62.4</v>
      </c>
    </row>
    <row r="140" spans="1:6" x14ac:dyDescent="0.35">
      <c r="A140" s="1" t="s">
        <v>4</v>
      </c>
      <c r="B140" s="1" t="s">
        <v>38</v>
      </c>
      <c r="C140" s="1" t="s">
        <v>37</v>
      </c>
      <c r="D140" s="1">
        <v>5862</v>
      </c>
      <c r="E140" s="13">
        <v>2.1238485158648923</v>
      </c>
      <c r="F140" s="3">
        <v>1222.5999999999999</v>
      </c>
    </row>
    <row r="141" spans="1:6" x14ac:dyDescent="0.35">
      <c r="A141" s="1" t="s">
        <v>7</v>
      </c>
      <c r="B141" s="1" t="s">
        <v>38</v>
      </c>
      <c r="C141" s="1" t="s">
        <v>37</v>
      </c>
      <c r="D141" s="1">
        <v>6089</v>
      </c>
      <c r="E141" s="13">
        <v>0</v>
      </c>
      <c r="F141" s="3">
        <v>2428.4</v>
      </c>
    </row>
    <row r="142" spans="1:6" x14ac:dyDescent="0.35">
      <c r="A142" s="1" t="s">
        <v>8</v>
      </c>
      <c r="B142" s="1" t="s">
        <v>38</v>
      </c>
      <c r="C142" s="1" t="s">
        <v>37</v>
      </c>
      <c r="D142" s="1">
        <v>6421</v>
      </c>
      <c r="E142" s="13">
        <v>0</v>
      </c>
      <c r="F142" s="3">
        <v>3700</v>
      </c>
    </row>
    <row r="143" spans="1:6" x14ac:dyDescent="0.35">
      <c r="A143" s="1" t="s">
        <v>9</v>
      </c>
      <c r="B143" s="1" t="s">
        <v>38</v>
      </c>
      <c r="C143" s="1" t="s">
        <v>37</v>
      </c>
      <c r="D143" s="1">
        <v>6745</v>
      </c>
      <c r="E143" s="13">
        <v>0</v>
      </c>
      <c r="F143" s="3">
        <v>5036.2</v>
      </c>
    </row>
    <row r="144" spans="1:6" x14ac:dyDescent="0.35">
      <c r="A144" s="1" t="s">
        <v>10</v>
      </c>
      <c r="B144" s="1" t="s">
        <v>38</v>
      </c>
      <c r="C144" s="1" t="s">
        <v>37</v>
      </c>
      <c r="D144" s="1">
        <v>6960</v>
      </c>
      <c r="E144" s="13">
        <v>0</v>
      </c>
      <c r="F144" s="3">
        <v>6415.4</v>
      </c>
    </row>
    <row r="145" spans="1:6" x14ac:dyDescent="0.35">
      <c r="A145" s="1" t="s">
        <v>11</v>
      </c>
      <c r="B145" s="1" t="s">
        <v>38</v>
      </c>
      <c r="C145" s="1" t="s">
        <v>37</v>
      </c>
      <c r="D145" s="1">
        <v>7533</v>
      </c>
      <c r="E145" s="13">
        <v>0</v>
      </c>
      <c r="F145" s="3">
        <v>6749.6</v>
      </c>
    </row>
    <row r="146" spans="1:6" x14ac:dyDescent="0.35">
      <c r="A146" s="1" t="s">
        <v>12</v>
      </c>
      <c r="B146" s="1" t="s">
        <v>38</v>
      </c>
      <c r="C146" s="1" t="s">
        <v>37</v>
      </c>
      <c r="D146" s="1">
        <v>7911</v>
      </c>
      <c r="E146" s="13">
        <v>0</v>
      </c>
      <c r="F146" s="3">
        <v>7114</v>
      </c>
    </row>
    <row r="147" spans="1:6" x14ac:dyDescent="0.35">
      <c r="A147" s="1" t="s">
        <v>13</v>
      </c>
      <c r="B147" s="1" t="s">
        <v>38</v>
      </c>
      <c r="C147" s="1" t="s">
        <v>37</v>
      </c>
      <c r="D147" s="1">
        <v>8386</v>
      </c>
      <c r="E147" s="13">
        <v>0</v>
      </c>
      <c r="F147" s="3">
        <v>7507</v>
      </c>
    </row>
    <row r="148" spans="1:6" x14ac:dyDescent="0.35">
      <c r="A148" s="1" t="s">
        <v>14</v>
      </c>
      <c r="B148" s="1" t="s">
        <v>38</v>
      </c>
      <c r="C148" s="1" t="s">
        <v>37</v>
      </c>
      <c r="D148" s="1">
        <v>8844</v>
      </c>
      <c r="E148" s="13">
        <v>0</v>
      </c>
      <c r="F148" s="3">
        <v>7926.8</v>
      </c>
    </row>
    <row r="149" spans="1:6" x14ac:dyDescent="0.35">
      <c r="A149" s="1" t="s">
        <v>15</v>
      </c>
      <c r="B149" s="1" t="s">
        <v>38</v>
      </c>
      <c r="C149" s="1" t="s">
        <v>37</v>
      </c>
      <c r="D149" s="1">
        <v>9321</v>
      </c>
      <c r="E149" s="13">
        <v>0</v>
      </c>
      <c r="F149" s="3">
        <v>8399</v>
      </c>
    </row>
    <row r="150" spans="1:6" x14ac:dyDescent="0.35">
      <c r="A150" s="1" t="s">
        <v>16</v>
      </c>
      <c r="B150" s="1" t="s">
        <v>38</v>
      </c>
      <c r="C150" s="1" t="s">
        <v>37</v>
      </c>
      <c r="D150" s="1">
        <v>9817</v>
      </c>
      <c r="E150" s="13">
        <v>0</v>
      </c>
      <c r="F150" s="3">
        <v>8855.7999999999993</v>
      </c>
    </row>
    <row r="151" spans="1:6" x14ac:dyDescent="0.35">
      <c r="A151" s="1" t="s">
        <v>17</v>
      </c>
      <c r="B151" s="1" t="s">
        <v>38</v>
      </c>
      <c r="C151" s="1" t="s">
        <v>37</v>
      </c>
      <c r="D151" s="1">
        <v>10315</v>
      </c>
      <c r="E151" s="13">
        <v>0</v>
      </c>
      <c r="F151" s="3">
        <v>9336.6</v>
      </c>
    </row>
    <row r="152" spans="1:6" x14ac:dyDescent="0.35">
      <c r="A152" s="1" t="s">
        <v>18</v>
      </c>
      <c r="B152" s="1" t="s">
        <v>38</v>
      </c>
      <c r="C152" s="1" t="s">
        <v>37</v>
      </c>
      <c r="D152" s="1">
        <v>11112</v>
      </c>
      <c r="E152" s="13">
        <v>0</v>
      </c>
      <c r="F152" s="3">
        <v>9881.7999999999993</v>
      </c>
    </row>
    <row r="153" spans="1:6" x14ac:dyDescent="0.35">
      <c r="A153" s="1" t="s">
        <v>19</v>
      </c>
      <c r="B153" s="1" t="s">
        <v>38</v>
      </c>
      <c r="C153" s="1" t="s">
        <v>37</v>
      </c>
      <c r="D153" s="1">
        <v>11691</v>
      </c>
      <c r="E153" s="13">
        <v>0</v>
      </c>
      <c r="F153" s="3">
        <v>10451.200000000001</v>
      </c>
    </row>
    <row r="154" spans="1:6" x14ac:dyDescent="0.35">
      <c r="A154" s="1" t="s">
        <v>20</v>
      </c>
      <c r="B154" s="1" t="s">
        <v>38</v>
      </c>
      <c r="C154" s="1" t="s">
        <v>37</v>
      </c>
      <c r="D154" s="1">
        <v>12262</v>
      </c>
      <c r="E154" s="13">
        <v>0</v>
      </c>
      <c r="F154" s="3">
        <v>11039.4</v>
      </c>
    </row>
    <row r="155" spans="1:6" x14ac:dyDescent="0.35">
      <c r="A155" s="1" t="s">
        <v>21</v>
      </c>
      <c r="B155" s="1" t="s">
        <v>38</v>
      </c>
      <c r="C155" s="1" t="s">
        <v>37</v>
      </c>
      <c r="D155" s="1">
        <v>12784</v>
      </c>
      <c r="E155" s="13">
        <v>0</v>
      </c>
      <c r="F155" s="3">
        <v>11632.8</v>
      </c>
    </row>
    <row r="156" spans="1:6" x14ac:dyDescent="0.35">
      <c r="A156" s="1" t="s">
        <v>22</v>
      </c>
      <c r="B156" s="1" t="s">
        <v>38</v>
      </c>
      <c r="C156" s="1" t="s">
        <v>37</v>
      </c>
      <c r="D156" s="1">
        <v>13569</v>
      </c>
      <c r="E156" s="13">
        <v>0</v>
      </c>
      <c r="F156" s="3">
        <v>12283.6</v>
      </c>
    </row>
    <row r="157" spans="1:6" x14ac:dyDescent="0.35">
      <c r="A157" s="1" t="s">
        <v>23</v>
      </c>
      <c r="B157" s="1" t="s">
        <v>38</v>
      </c>
      <c r="C157" s="1" t="s">
        <v>37</v>
      </c>
      <c r="D157" s="1">
        <v>14493</v>
      </c>
      <c r="E157" s="13">
        <v>0</v>
      </c>
      <c r="F157" s="3">
        <v>12959.8</v>
      </c>
    </row>
    <row r="158" spans="1:6" x14ac:dyDescent="0.35">
      <c r="A158" s="1" t="s">
        <v>24</v>
      </c>
      <c r="B158" s="1" t="s">
        <v>38</v>
      </c>
      <c r="C158" s="1" t="s">
        <v>37</v>
      </c>
      <c r="D158" s="1">
        <v>15292</v>
      </c>
      <c r="E158" s="13">
        <v>0</v>
      </c>
      <c r="F158" s="3">
        <v>13680</v>
      </c>
    </row>
    <row r="159" spans="1:6" x14ac:dyDescent="0.35">
      <c r="A159" s="1" t="s">
        <v>25</v>
      </c>
      <c r="B159" s="1" t="s">
        <v>38</v>
      </c>
      <c r="C159" s="1" t="s">
        <v>37</v>
      </c>
      <c r="D159" s="1">
        <v>15853</v>
      </c>
      <c r="E159" s="13">
        <v>0</v>
      </c>
      <c r="F159" s="3">
        <v>14398.2</v>
      </c>
    </row>
    <row r="160" spans="1:6" x14ac:dyDescent="0.35">
      <c r="A160" s="1" t="s">
        <v>26</v>
      </c>
      <c r="B160" s="1" t="s">
        <v>38</v>
      </c>
      <c r="C160" s="1" t="s">
        <v>37</v>
      </c>
      <c r="D160" s="1">
        <v>16722</v>
      </c>
      <c r="E160" s="13">
        <v>0</v>
      </c>
      <c r="F160" s="3">
        <v>15185.8</v>
      </c>
    </row>
    <row r="161" spans="1:6" x14ac:dyDescent="0.35">
      <c r="A161" s="1" t="s">
        <v>27</v>
      </c>
      <c r="B161" s="1" t="s">
        <v>38</v>
      </c>
      <c r="C161" s="1" t="s">
        <v>37</v>
      </c>
      <c r="D161" s="1">
        <v>17281</v>
      </c>
      <c r="E161" s="13">
        <v>0</v>
      </c>
      <c r="F161" s="3">
        <v>15928.2</v>
      </c>
    </row>
    <row r="162" spans="1:6" x14ac:dyDescent="0.35">
      <c r="A162" s="1" t="s">
        <v>28</v>
      </c>
      <c r="B162" s="1" t="s">
        <v>38</v>
      </c>
      <c r="C162" s="1" t="s">
        <v>37</v>
      </c>
      <c r="D162" s="1">
        <v>18312</v>
      </c>
      <c r="E162" s="13">
        <v>0</v>
      </c>
      <c r="F162" s="3">
        <v>16692</v>
      </c>
    </row>
    <row r="163" spans="1:6" x14ac:dyDescent="0.35">
      <c r="A163" s="1" t="s">
        <v>4</v>
      </c>
      <c r="B163" s="1" t="s">
        <v>39</v>
      </c>
      <c r="C163" s="1" t="s">
        <v>40</v>
      </c>
      <c r="D163" s="1">
        <v>4978</v>
      </c>
      <c r="E163" s="13">
        <v>1.454801124949779</v>
      </c>
      <c r="F163" s="3">
        <v>14629.2</v>
      </c>
    </row>
    <row r="164" spans="1:6" x14ac:dyDescent="0.35">
      <c r="A164" s="1" t="s">
        <v>7</v>
      </c>
      <c r="B164" s="1" t="s">
        <v>39</v>
      </c>
      <c r="C164" s="1" t="s">
        <v>40</v>
      </c>
      <c r="D164" s="1">
        <v>5124</v>
      </c>
      <c r="E164" s="13">
        <v>0</v>
      </c>
      <c r="F164" s="3">
        <v>12483.4</v>
      </c>
    </row>
    <row r="165" spans="1:6" x14ac:dyDescent="0.35">
      <c r="A165" s="1" t="s">
        <v>8</v>
      </c>
      <c r="B165" s="1" t="s">
        <v>39</v>
      </c>
      <c r="C165" s="1" t="s">
        <v>40</v>
      </c>
      <c r="D165" s="1">
        <v>5221</v>
      </c>
      <c r="E165" s="13">
        <v>0</v>
      </c>
      <c r="F165" s="3">
        <v>10183.200000000001</v>
      </c>
    </row>
    <row r="166" spans="1:6" x14ac:dyDescent="0.35">
      <c r="A166" s="1" t="s">
        <v>9</v>
      </c>
      <c r="B166" s="1" t="s">
        <v>39</v>
      </c>
      <c r="C166" s="1" t="s">
        <v>40</v>
      </c>
      <c r="D166" s="1">
        <v>5222</v>
      </c>
      <c r="E166" s="13">
        <v>0</v>
      </c>
      <c r="F166" s="3">
        <v>7771.4</v>
      </c>
    </row>
    <row r="167" spans="1:6" x14ac:dyDescent="0.35">
      <c r="A167" s="1" t="s">
        <v>10</v>
      </c>
      <c r="B167" s="1" t="s">
        <v>39</v>
      </c>
      <c r="C167" s="1" t="s">
        <v>40</v>
      </c>
      <c r="D167" s="1">
        <v>5299</v>
      </c>
      <c r="E167" s="13">
        <v>0</v>
      </c>
      <c r="F167" s="3">
        <v>5168.8</v>
      </c>
    </row>
    <row r="168" spans="1:6" x14ac:dyDescent="0.35">
      <c r="A168" s="1" t="s">
        <v>11</v>
      </c>
      <c r="B168" s="1" t="s">
        <v>39</v>
      </c>
      <c r="C168" s="1" t="s">
        <v>40</v>
      </c>
      <c r="D168" s="1">
        <v>5366</v>
      </c>
      <c r="E168" s="13">
        <v>0</v>
      </c>
      <c r="F168" s="3">
        <v>5246.4</v>
      </c>
    </row>
    <row r="169" spans="1:6" x14ac:dyDescent="0.35">
      <c r="A169" s="1" t="s">
        <v>12</v>
      </c>
      <c r="B169" s="1" t="s">
        <v>39</v>
      </c>
      <c r="C169" s="1" t="s">
        <v>40</v>
      </c>
      <c r="D169" s="1">
        <v>5442</v>
      </c>
      <c r="E169" s="13">
        <v>0</v>
      </c>
      <c r="F169" s="3">
        <v>5310</v>
      </c>
    </row>
    <row r="170" spans="1:6" x14ac:dyDescent="0.35">
      <c r="A170" s="1" t="s">
        <v>13</v>
      </c>
      <c r="B170" s="1" t="s">
        <v>39</v>
      </c>
      <c r="C170" s="1" t="s">
        <v>40</v>
      </c>
      <c r="D170" s="1">
        <v>5745</v>
      </c>
      <c r="E170" s="13">
        <v>0</v>
      </c>
      <c r="F170" s="3">
        <v>5414.8</v>
      </c>
    </row>
    <row r="171" spans="1:6" x14ac:dyDescent="0.35">
      <c r="A171" s="1" t="s">
        <v>14</v>
      </c>
      <c r="B171" s="1" t="s">
        <v>39</v>
      </c>
      <c r="C171" s="1" t="s">
        <v>40</v>
      </c>
      <c r="D171" s="1">
        <v>6006</v>
      </c>
      <c r="E171" s="13">
        <v>0</v>
      </c>
      <c r="F171" s="3">
        <v>5571.6</v>
      </c>
    </row>
    <row r="172" spans="1:6" x14ac:dyDescent="0.35">
      <c r="A172" s="1" t="s">
        <v>15</v>
      </c>
      <c r="B172" s="1" t="s">
        <v>39</v>
      </c>
      <c r="C172" s="1" t="s">
        <v>40</v>
      </c>
      <c r="D172" s="1">
        <v>6267</v>
      </c>
      <c r="E172" s="13">
        <v>0</v>
      </c>
      <c r="F172" s="3">
        <v>5765.2</v>
      </c>
    </row>
    <row r="173" spans="1:6" x14ac:dyDescent="0.35">
      <c r="A173" s="1" t="s">
        <v>16</v>
      </c>
      <c r="B173" s="1" t="s">
        <v>39</v>
      </c>
      <c r="C173" s="1" t="s">
        <v>40</v>
      </c>
      <c r="D173" s="1">
        <v>6661</v>
      </c>
      <c r="E173" s="13">
        <v>0</v>
      </c>
      <c r="F173" s="3">
        <v>6024.2</v>
      </c>
    </row>
    <row r="174" spans="1:6" x14ac:dyDescent="0.35">
      <c r="A174" s="1" t="s">
        <v>17</v>
      </c>
      <c r="B174" s="1" t="s">
        <v>39</v>
      </c>
      <c r="C174" s="1" t="s">
        <v>40</v>
      </c>
      <c r="D174" s="1">
        <v>7040</v>
      </c>
      <c r="E174" s="13">
        <v>0</v>
      </c>
      <c r="F174" s="3">
        <v>6343.8</v>
      </c>
    </row>
    <row r="175" spans="1:6" x14ac:dyDescent="0.35">
      <c r="A175" s="1" t="s">
        <v>18</v>
      </c>
      <c r="B175" s="1" t="s">
        <v>39</v>
      </c>
      <c r="C175" s="1" t="s">
        <v>40</v>
      </c>
      <c r="D175" s="1">
        <v>7442</v>
      </c>
      <c r="E175" s="13">
        <v>0</v>
      </c>
      <c r="F175" s="3">
        <v>6683.2</v>
      </c>
    </row>
    <row r="176" spans="1:6" x14ac:dyDescent="0.35">
      <c r="A176" s="1" t="s">
        <v>19</v>
      </c>
      <c r="B176" s="1" t="s">
        <v>39</v>
      </c>
      <c r="C176" s="1" t="s">
        <v>40</v>
      </c>
      <c r="D176" s="1">
        <v>7901</v>
      </c>
      <c r="E176" s="13">
        <v>0</v>
      </c>
      <c r="F176" s="3">
        <v>7062.2</v>
      </c>
    </row>
    <row r="177" spans="1:6" x14ac:dyDescent="0.35">
      <c r="A177" s="1" t="s">
        <v>20</v>
      </c>
      <c r="B177" s="1" t="s">
        <v>39</v>
      </c>
      <c r="C177" s="1" t="s">
        <v>40</v>
      </c>
      <c r="D177" s="1">
        <v>8381</v>
      </c>
      <c r="E177" s="13">
        <v>0</v>
      </c>
      <c r="F177" s="3">
        <v>7485</v>
      </c>
    </row>
    <row r="178" spans="1:6" x14ac:dyDescent="0.35">
      <c r="A178" s="1" t="s">
        <v>21</v>
      </c>
      <c r="B178" s="1" t="s">
        <v>39</v>
      </c>
      <c r="C178" s="1" t="s">
        <v>40</v>
      </c>
      <c r="D178" s="1">
        <v>8975</v>
      </c>
      <c r="E178" s="13">
        <v>0</v>
      </c>
      <c r="F178" s="3">
        <v>7947.8</v>
      </c>
    </row>
    <row r="179" spans="1:6" x14ac:dyDescent="0.35">
      <c r="A179" s="1" t="s">
        <v>22</v>
      </c>
      <c r="B179" s="1" t="s">
        <v>39</v>
      </c>
      <c r="C179" s="1" t="s">
        <v>40</v>
      </c>
      <c r="D179" s="1">
        <v>9809</v>
      </c>
      <c r="E179" s="13">
        <v>0</v>
      </c>
      <c r="F179" s="3">
        <v>8501.6</v>
      </c>
    </row>
    <row r="180" spans="1:6" x14ac:dyDescent="0.35">
      <c r="A180" s="1" t="s">
        <v>23</v>
      </c>
      <c r="B180" s="1" t="s">
        <v>39</v>
      </c>
      <c r="C180" s="1" t="s">
        <v>40</v>
      </c>
      <c r="D180" s="1">
        <v>10726</v>
      </c>
      <c r="E180" s="13">
        <v>0</v>
      </c>
      <c r="F180" s="3">
        <v>9158.4</v>
      </c>
    </row>
    <row r="181" spans="1:6" x14ac:dyDescent="0.35">
      <c r="A181" s="1" t="s">
        <v>24</v>
      </c>
      <c r="B181" s="1" t="s">
        <v>39</v>
      </c>
      <c r="C181" s="1" t="s">
        <v>40</v>
      </c>
      <c r="D181" s="1">
        <v>11735</v>
      </c>
      <c r="E181" s="13">
        <v>0</v>
      </c>
      <c r="F181" s="3">
        <v>9925.2000000000007</v>
      </c>
    </row>
    <row r="182" spans="1:6" x14ac:dyDescent="0.35">
      <c r="A182" s="1" t="s">
        <v>25</v>
      </c>
      <c r="B182" s="1" t="s">
        <v>39</v>
      </c>
      <c r="C182" s="1" t="s">
        <v>40</v>
      </c>
      <c r="D182" s="1">
        <v>11284</v>
      </c>
      <c r="E182" s="13">
        <v>0</v>
      </c>
      <c r="F182" s="3">
        <v>10505.8</v>
      </c>
    </row>
    <row r="183" spans="1:6" x14ac:dyDescent="0.35">
      <c r="A183" s="1" t="s">
        <v>26</v>
      </c>
      <c r="B183" s="1" t="s">
        <v>39</v>
      </c>
      <c r="C183" s="1" t="s">
        <v>40</v>
      </c>
      <c r="D183" s="1">
        <v>11630</v>
      </c>
      <c r="E183" s="13">
        <v>0</v>
      </c>
      <c r="F183" s="3">
        <v>11036.8</v>
      </c>
    </row>
    <row r="184" spans="1:6" x14ac:dyDescent="0.35">
      <c r="A184" s="1" t="s">
        <v>27</v>
      </c>
      <c r="B184" s="1" t="s">
        <v>39</v>
      </c>
      <c r="C184" s="1" t="s">
        <v>40</v>
      </c>
      <c r="D184" s="1">
        <v>11966</v>
      </c>
      <c r="E184" s="13">
        <v>0</v>
      </c>
      <c r="F184" s="3">
        <v>11468.2</v>
      </c>
    </row>
    <row r="185" spans="1:6" x14ac:dyDescent="0.35">
      <c r="A185" s="1" t="s">
        <v>28</v>
      </c>
      <c r="B185" s="1" t="s">
        <v>39</v>
      </c>
      <c r="C185" s="1" t="s">
        <v>40</v>
      </c>
      <c r="D185" s="1">
        <v>12220</v>
      </c>
      <c r="E185" s="13">
        <v>0</v>
      </c>
      <c r="F185" s="3">
        <v>11767</v>
      </c>
    </row>
    <row r="186" spans="1:6" x14ac:dyDescent="0.35">
      <c r="A186" s="1" t="s">
        <v>4</v>
      </c>
      <c r="B186" s="1" t="s">
        <v>41</v>
      </c>
      <c r="C186" s="1" t="s">
        <v>40</v>
      </c>
      <c r="D186" s="1">
        <v>756</v>
      </c>
      <c r="E186" s="13">
        <v>1.3134920634920635</v>
      </c>
      <c r="F186" s="3">
        <v>9571.2000000000007</v>
      </c>
    </row>
    <row r="187" spans="1:6" x14ac:dyDescent="0.35">
      <c r="A187" s="1" t="s">
        <v>7</v>
      </c>
      <c r="B187" s="1" t="s">
        <v>41</v>
      </c>
      <c r="C187" s="1" t="s">
        <v>40</v>
      </c>
      <c r="D187" s="1">
        <v>773</v>
      </c>
      <c r="E187" s="13">
        <v>0</v>
      </c>
      <c r="F187" s="3">
        <v>7469</v>
      </c>
    </row>
    <row r="188" spans="1:6" x14ac:dyDescent="0.35">
      <c r="A188" s="1" t="s">
        <v>8</v>
      </c>
      <c r="B188" s="1" t="s">
        <v>41</v>
      </c>
      <c r="C188" s="1" t="s">
        <v>40</v>
      </c>
      <c r="D188" s="1">
        <v>786</v>
      </c>
      <c r="E188" s="13">
        <v>0</v>
      </c>
      <c r="F188" s="3">
        <v>5300.2</v>
      </c>
    </row>
    <row r="189" spans="1:6" x14ac:dyDescent="0.35">
      <c r="A189" s="1" t="s">
        <v>9</v>
      </c>
      <c r="B189" s="1" t="s">
        <v>41</v>
      </c>
      <c r="C189" s="1" t="s">
        <v>40</v>
      </c>
      <c r="D189" s="1">
        <v>870</v>
      </c>
      <c r="E189" s="13">
        <v>0</v>
      </c>
      <c r="F189" s="3">
        <v>3081</v>
      </c>
    </row>
    <row r="190" spans="1:6" x14ac:dyDescent="0.35">
      <c r="A190" s="1" t="s">
        <v>10</v>
      </c>
      <c r="B190" s="1" t="s">
        <v>41</v>
      </c>
      <c r="C190" s="1" t="s">
        <v>40</v>
      </c>
      <c r="D190" s="1">
        <v>869</v>
      </c>
      <c r="E190" s="13">
        <v>0</v>
      </c>
      <c r="F190" s="3">
        <v>810.8</v>
      </c>
    </row>
    <row r="191" spans="1:6" x14ac:dyDescent="0.35">
      <c r="A191" s="1" t="s">
        <v>11</v>
      </c>
      <c r="B191" s="1" t="s">
        <v>41</v>
      </c>
      <c r="C191" s="1" t="s">
        <v>40</v>
      </c>
      <c r="D191" s="1">
        <v>933</v>
      </c>
      <c r="E191" s="13">
        <v>0</v>
      </c>
      <c r="F191" s="3">
        <v>846.2</v>
      </c>
    </row>
    <row r="192" spans="1:6" x14ac:dyDescent="0.35">
      <c r="A192" s="1" t="s">
        <v>12</v>
      </c>
      <c r="B192" s="1" t="s">
        <v>41</v>
      </c>
      <c r="C192" s="1" t="s">
        <v>40</v>
      </c>
      <c r="D192" s="1">
        <v>1007</v>
      </c>
      <c r="E192" s="13">
        <v>0</v>
      </c>
      <c r="F192" s="3">
        <v>893</v>
      </c>
    </row>
    <row r="193" spans="1:6" x14ac:dyDescent="0.35">
      <c r="A193" s="1" t="s">
        <v>13</v>
      </c>
      <c r="B193" s="1" t="s">
        <v>41</v>
      </c>
      <c r="C193" s="1" t="s">
        <v>40</v>
      </c>
      <c r="D193" s="1">
        <v>1026</v>
      </c>
      <c r="E193" s="13">
        <v>0</v>
      </c>
      <c r="F193" s="3">
        <v>941</v>
      </c>
    </row>
    <row r="194" spans="1:6" x14ac:dyDescent="0.35">
      <c r="A194" s="1" t="s">
        <v>14</v>
      </c>
      <c r="B194" s="1" t="s">
        <v>41</v>
      </c>
      <c r="C194" s="1" t="s">
        <v>40</v>
      </c>
      <c r="D194" s="1">
        <v>971</v>
      </c>
      <c r="E194" s="13">
        <v>0</v>
      </c>
      <c r="F194" s="3">
        <v>961.2</v>
      </c>
    </row>
    <row r="195" spans="1:6" x14ac:dyDescent="0.35">
      <c r="A195" s="1" t="s">
        <v>15</v>
      </c>
      <c r="B195" s="1" t="s">
        <v>41</v>
      </c>
      <c r="C195" s="1" t="s">
        <v>40</v>
      </c>
      <c r="D195" s="1">
        <v>1102</v>
      </c>
      <c r="E195" s="13">
        <v>0</v>
      </c>
      <c r="F195" s="3">
        <v>1007.8</v>
      </c>
    </row>
    <row r="196" spans="1:6" x14ac:dyDescent="0.35">
      <c r="A196" s="1" t="s">
        <v>16</v>
      </c>
      <c r="B196" s="1" t="s">
        <v>41</v>
      </c>
      <c r="C196" s="1" t="s">
        <v>40</v>
      </c>
      <c r="D196" s="1">
        <v>1120</v>
      </c>
      <c r="E196" s="13">
        <v>0</v>
      </c>
      <c r="F196" s="3">
        <v>1045.2</v>
      </c>
    </row>
    <row r="197" spans="1:6" x14ac:dyDescent="0.35">
      <c r="A197" s="1" t="s">
        <v>17</v>
      </c>
      <c r="B197" s="1" t="s">
        <v>41</v>
      </c>
      <c r="C197" s="1" t="s">
        <v>40</v>
      </c>
      <c r="D197" s="1">
        <v>1139</v>
      </c>
      <c r="E197" s="13">
        <v>0</v>
      </c>
      <c r="F197" s="3">
        <v>1071.5999999999999</v>
      </c>
    </row>
    <row r="198" spans="1:6" x14ac:dyDescent="0.35">
      <c r="A198" s="1" t="s">
        <v>18</v>
      </c>
      <c r="B198" s="1" t="s">
        <v>41</v>
      </c>
      <c r="C198" s="1" t="s">
        <v>40</v>
      </c>
      <c r="D198" s="1">
        <v>1151</v>
      </c>
      <c r="E198" s="13">
        <v>0</v>
      </c>
      <c r="F198" s="3">
        <v>1096.5999999999999</v>
      </c>
    </row>
    <row r="199" spans="1:6" x14ac:dyDescent="0.35">
      <c r="A199" s="1" t="s">
        <v>19</v>
      </c>
      <c r="B199" s="1" t="s">
        <v>41</v>
      </c>
      <c r="C199" s="1" t="s">
        <v>40</v>
      </c>
      <c r="D199" s="1">
        <v>1172</v>
      </c>
      <c r="E199" s="13">
        <v>0</v>
      </c>
      <c r="F199" s="3">
        <v>1136.8</v>
      </c>
    </row>
    <row r="200" spans="1:6" x14ac:dyDescent="0.35">
      <c r="A200" s="1" t="s">
        <v>20</v>
      </c>
      <c r="B200" s="1" t="s">
        <v>41</v>
      </c>
      <c r="C200" s="1" t="s">
        <v>40</v>
      </c>
      <c r="D200" s="1">
        <v>1283</v>
      </c>
      <c r="E200" s="13">
        <v>0</v>
      </c>
      <c r="F200" s="3">
        <v>1173</v>
      </c>
    </row>
    <row r="201" spans="1:6" x14ac:dyDescent="0.35">
      <c r="A201" s="1" t="s">
        <v>21</v>
      </c>
      <c r="B201" s="1" t="s">
        <v>41</v>
      </c>
      <c r="C201" s="1" t="s">
        <v>40</v>
      </c>
      <c r="D201" s="1">
        <v>1329</v>
      </c>
      <c r="E201" s="13">
        <v>0</v>
      </c>
      <c r="F201" s="3">
        <v>1214.8</v>
      </c>
    </row>
    <row r="202" spans="1:6" x14ac:dyDescent="0.35">
      <c r="A202" s="1" t="s">
        <v>22</v>
      </c>
      <c r="B202" s="1" t="s">
        <v>41</v>
      </c>
      <c r="C202" s="1" t="s">
        <v>40</v>
      </c>
      <c r="D202" s="1">
        <v>1392</v>
      </c>
      <c r="E202" s="13">
        <v>0</v>
      </c>
      <c r="F202" s="3">
        <v>1265.4000000000001</v>
      </c>
    </row>
    <row r="203" spans="1:6" x14ac:dyDescent="0.35">
      <c r="A203" s="1" t="s">
        <v>23</v>
      </c>
      <c r="B203" s="1" t="s">
        <v>41</v>
      </c>
      <c r="C203" s="1" t="s">
        <v>40</v>
      </c>
      <c r="D203" s="1">
        <v>1460</v>
      </c>
      <c r="E203" s="13">
        <v>0</v>
      </c>
      <c r="F203" s="3">
        <v>1327.2</v>
      </c>
    </row>
    <row r="204" spans="1:6" x14ac:dyDescent="0.35">
      <c r="A204" s="1" t="s">
        <v>24</v>
      </c>
      <c r="B204" s="1" t="s">
        <v>41</v>
      </c>
      <c r="C204" s="1" t="s">
        <v>40</v>
      </c>
      <c r="D204" s="1">
        <v>1531</v>
      </c>
      <c r="E204" s="13">
        <v>0</v>
      </c>
      <c r="F204" s="3">
        <v>1399</v>
      </c>
    </row>
    <row r="205" spans="1:6" x14ac:dyDescent="0.35">
      <c r="A205" s="1" t="s">
        <v>25</v>
      </c>
      <c r="B205" s="1" t="s">
        <v>41</v>
      </c>
      <c r="C205" s="1" t="s">
        <v>40</v>
      </c>
      <c r="D205" s="1">
        <v>1576</v>
      </c>
      <c r="E205" s="13">
        <v>0</v>
      </c>
      <c r="F205" s="3">
        <v>1457.6</v>
      </c>
    </row>
    <row r="206" spans="1:6" x14ac:dyDescent="0.35">
      <c r="A206" s="1" t="s">
        <v>26</v>
      </c>
      <c r="B206" s="1" t="s">
        <v>41</v>
      </c>
      <c r="C206" s="1" t="s">
        <v>40</v>
      </c>
      <c r="D206" s="1">
        <v>1615</v>
      </c>
      <c r="E206" s="13">
        <v>0</v>
      </c>
      <c r="F206" s="3">
        <v>1514.8</v>
      </c>
    </row>
    <row r="207" spans="1:6" x14ac:dyDescent="0.35">
      <c r="A207" s="1" t="s">
        <v>27</v>
      </c>
      <c r="B207" s="1" t="s">
        <v>41</v>
      </c>
      <c r="C207" s="1" t="s">
        <v>40</v>
      </c>
      <c r="D207" s="1">
        <v>1617</v>
      </c>
      <c r="E207" s="13">
        <v>0</v>
      </c>
      <c r="F207" s="3">
        <v>1559.8</v>
      </c>
    </row>
    <row r="208" spans="1:6" x14ac:dyDescent="0.35">
      <c r="A208" s="1" t="s">
        <v>28</v>
      </c>
      <c r="B208" s="1" t="s">
        <v>41</v>
      </c>
      <c r="C208" s="1" t="s">
        <v>40</v>
      </c>
      <c r="D208" s="1">
        <v>1749</v>
      </c>
      <c r="E208" s="13">
        <v>0</v>
      </c>
      <c r="F208" s="3">
        <v>1617.6</v>
      </c>
    </row>
    <row r="209" spans="1:6" x14ac:dyDescent="0.35">
      <c r="A209" s="1" t="s">
        <v>4</v>
      </c>
      <c r="B209" s="1" t="s">
        <v>42</v>
      </c>
      <c r="C209" s="1" t="s">
        <v>40</v>
      </c>
      <c r="D209" s="1">
        <v>1360</v>
      </c>
      <c r="E209" s="13">
        <v>1.1139705882352942</v>
      </c>
      <c r="F209" s="3">
        <v>1583.4</v>
      </c>
    </row>
    <row r="210" spans="1:6" x14ac:dyDescent="0.35">
      <c r="A210" s="1" t="s">
        <v>7</v>
      </c>
      <c r="B210" s="1" t="s">
        <v>42</v>
      </c>
      <c r="C210" s="1" t="s">
        <v>40</v>
      </c>
      <c r="D210" s="1">
        <v>1389</v>
      </c>
      <c r="E210" s="13">
        <v>0</v>
      </c>
      <c r="F210" s="3">
        <v>1546</v>
      </c>
    </row>
    <row r="211" spans="1:6" x14ac:dyDescent="0.35">
      <c r="A211" s="1" t="s">
        <v>8</v>
      </c>
      <c r="B211" s="1" t="s">
        <v>42</v>
      </c>
      <c r="C211" s="1" t="s">
        <v>40</v>
      </c>
      <c r="D211" s="1">
        <v>1414</v>
      </c>
      <c r="E211" s="13">
        <v>0</v>
      </c>
      <c r="F211" s="3">
        <v>1505.8</v>
      </c>
    </row>
    <row r="212" spans="1:6" x14ac:dyDescent="0.35">
      <c r="A212" s="1" t="s">
        <v>9</v>
      </c>
      <c r="B212" s="1" t="s">
        <v>42</v>
      </c>
      <c r="C212" s="1" t="s">
        <v>40</v>
      </c>
      <c r="D212" s="1">
        <v>1422</v>
      </c>
      <c r="E212" s="13">
        <v>0</v>
      </c>
      <c r="F212" s="3">
        <v>1466.8</v>
      </c>
    </row>
    <row r="213" spans="1:6" x14ac:dyDescent="0.35">
      <c r="A213" s="1" t="s">
        <v>10</v>
      </c>
      <c r="B213" s="1" t="s">
        <v>42</v>
      </c>
      <c r="C213" s="1" t="s">
        <v>40</v>
      </c>
      <c r="D213" s="1">
        <v>1400</v>
      </c>
      <c r="E213" s="13">
        <v>0</v>
      </c>
      <c r="F213" s="3">
        <v>1397</v>
      </c>
    </row>
    <row r="214" spans="1:6" x14ac:dyDescent="0.35">
      <c r="A214" s="1" t="s">
        <v>11</v>
      </c>
      <c r="B214" s="1" t="s">
        <v>42</v>
      </c>
      <c r="C214" s="1" t="s">
        <v>40</v>
      </c>
      <c r="D214" s="1">
        <v>1400</v>
      </c>
      <c r="E214" s="13">
        <v>0</v>
      </c>
      <c r="F214" s="3">
        <v>1405</v>
      </c>
    </row>
    <row r="215" spans="1:6" x14ac:dyDescent="0.35">
      <c r="A215" s="1" t="s">
        <v>12</v>
      </c>
      <c r="B215" s="1" t="s">
        <v>42</v>
      </c>
      <c r="C215" s="1" t="s">
        <v>40</v>
      </c>
      <c r="D215" s="1">
        <v>1519</v>
      </c>
      <c r="E215" s="13">
        <v>0</v>
      </c>
      <c r="F215" s="3">
        <v>1431</v>
      </c>
    </row>
    <row r="216" spans="1:6" x14ac:dyDescent="0.35">
      <c r="A216" s="1" t="s">
        <v>13</v>
      </c>
      <c r="B216" s="1" t="s">
        <v>42</v>
      </c>
      <c r="C216" s="1" t="s">
        <v>40</v>
      </c>
      <c r="D216" s="1">
        <v>1565</v>
      </c>
      <c r="E216" s="13">
        <v>0</v>
      </c>
      <c r="F216" s="3">
        <v>1461.2</v>
      </c>
    </row>
    <row r="217" spans="1:6" x14ac:dyDescent="0.35">
      <c r="A217" s="1" t="s">
        <v>14</v>
      </c>
      <c r="B217" s="1" t="s">
        <v>42</v>
      </c>
      <c r="C217" s="1" t="s">
        <v>40</v>
      </c>
      <c r="D217" s="1">
        <v>1592</v>
      </c>
      <c r="E217" s="13">
        <v>0</v>
      </c>
      <c r="F217" s="3">
        <v>1495.2</v>
      </c>
    </row>
    <row r="218" spans="1:6" x14ac:dyDescent="0.35">
      <c r="A218" s="1" t="s">
        <v>15</v>
      </c>
      <c r="B218" s="1" t="s">
        <v>42</v>
      </c>
      <c r="C218" s="1" t="s">
        <v>40</v>
      </c>
      <c r="D218" s="1">
        <v>1609</v>
      </c>
      <c r="E218" s="13">
        <v>0</v>
      </c>
      <c r="F218" s="3">
        <v>1537</v>
      </c>
    </row>
    <row r="219" spans="1:6" x14ac:dyDescent="0.35">
      <c r="A219" s="1" t="s">
        <v>16</v>
      </c>
      <c r="B219" s="1" t="s">
        <v>42</v>
      </c>
      <c r="C219" s="1" t="s">
        <v>40</v>
      </c>
      <c r="D219" s="1">
        <v>1614</v>
      </c>
      <c r="E219" s="13">
        <v>0</v>
      </c>
      <c r="F219" s="3">
        <v>1579.8</v>
      </c>
    </row>
    <row r="220" spans="1:6" x14ac:dyDescent="0.35">
      <c r="A220" s="1" t="s">
        <v>17</v>
      </c>
      <c r="B220" s="1" t="s">
        <v>42</v>
      </c>
      <c r="C220" s="1" t="s">
        <v>40</v>
      </c>
      <c r="D220" s="1">
        <v>1631</v>
      </c>
      <c r="E220" s="13">
        <v>0</v>
      </c>
      <c r="F220" s="3">
        <v>1602.2</v>
      </c>
    </row>
    <row r="221" spans="1:6" x14ac:dyDescent="0.35">
      <c r="A221" s="1" t="s">
        <v>18</v>
      </c>
      <c r="B221" s="1" t="s">
        <v>42</v>
      </c>
      <c r="C221" s="1" t="s">
        <v>40</v>
      </c>
      <c r="D221" s="1">
        <v>1615</v>
      </c>
      <c r="E221" s="13">
        <v>0</v>
      </c>
      <c r="F221" s="3">
        <v>1612.2</v>
      </c>
    </row>
    <row r="222" spans="1:6" x14ac:dyDescent="0.35">
      <c r="A222" s="1" t="s">
        <v>19</v>
      </c>
      <c r="B222" s="1" t="s">
        <v>42</v>
      </c>
      <c r="C222" s="1" t="s">
        <v>40</v>
      </c>
      <c r="D222" s="1">
        <v>1951</v>
      </c>
      <c r="E222" s="13">
        <v>0</v>
      </c>
      <c r="F222" s="3">
        <v>1684</v>
      </c>
    </row>
    <row r="223" spans="1:6" x14ac:dyDescent="0.35">
      <c r="A223" s="1" t="s">
        <v>20</v>
      </c>
      <c r="B223" s="1" t="s">
        <v>42</v>
      </c>
      <c r="C223" s="1" t="s">
        <v>40</v>
      </c>
      <c r="D223" s="1">
        <v>2273</v>
      </c>
      <c r="E223" s="13">
        <v>0</v>
      </c>
      <c r="F223" s="3">
        <v>1816.8</v>
      </c>
    </row>
    <row r="224" spans="1:6" x14ac:dyDescent="0.35">
      <c r="A224" s="1" t="s">
        <v>21</v>
      </c>
      <c r="B224" s="1" t="s">
        <v>42</v>
      </c>
      <c r="C224" s="1" t="s">
        <v>40</v>
      </c>
      <c r="D224" s="1">
        <v>2376</v>
      </c>
      <c r="E224" s="13">
        <v>0</v>
      </c>
      <c r="F224" s="3">
        <v>1969.2</v>
      </c>
    </row>
    <row r="225" spans="1:6" x14ac:dyDescent="0.35">
      <c r="A225" s="1" t="s">
        <v>22</v>
      </c>
      <c r="B225" s="1" t="s">
        <v>42</v>
      </c>
      <c r="C225" s="1" t="s">
        <v>40</v>
      </c>
      <c r="D225" s="1">
        <v>2460</v>
      </c>
      <c r="E225" s="13">
        <v>0</v>
      </c>
      <c r="F225" s="3">
        <v>2135</v>
      </c>
    </row>
    <row r="226" spans="1:6" x14ac:dyDescent="0.35">
      <c r="A226" s="1" t="s">
        <v>23</v>
      </c>
      <c r="B226" s="1" t="s">
        <v>42</v>
      </c>
      <c r="C226" s="1" t="s">
        <v>40</v>
      </c>
      <c r="D226" s="1">
        <v>2540</v>
      </c>
      <c r="E226" s="13">
        <v>0</v>
      </c>
      <c r="F226" s="3">
        <v>2320</v>
      </c>
    </row>
    <row r="227" spans="1:6" x14ac:dyDescent="0.35">
      <c r="A227" s="1" t="s">
        <v>24</v>
      </c>
      <c r="B227" s="1" t="s">
        <v>42</v>
      </c>
      <c r="C227" s="1" t="s">
        <v>40</v>
      </c>
      <c r="D227" s="1">
        <v>2506</v>
      </c>
      <c r="E227" s="13">
        <v>0</v>
      </c>
      <c r="F227" s="3">
        <v>2431</v>
      </c>
    </row>
    <row r="228" spans="1:6" x14ac:dyDescent="0.35">
      <c r="A228" s="1" t="s">
        <v>25</v>
      </c>
      <c r="B228" s="1" t="s">
        <v>42</v>
      </c>
      <c r="C228" s="1" t="s">
        <v>40</v>
      </c>
      <c r="D228" s="1">
        <v>2595</v>
      </c>
      <c r="E228" s="13">
        <v>0</v>
      </c>
      <c r="F228" s="3">
        <v>2495.4</v>
      </c>
    </row>
    <row r="229" spans="1:6" x14ac:dyDescent="0.35">
      <c r="A229" s="1" t="s">
        <v>26</v>
      </c>
      <c r="B229" s="1" t="s">
        <v>42</v>
      </c>
      <c r="C229" s="1" t="s">
        <v>40</v>
      </c>
      <c r="D229" s="1">
        <v>2727</v>
      </c>
      <c r="E229" s="13">
        <v>0</v>
      </c>
      <c r="F229" s="3">
        <v>2565.6</v>
      </c>
    </row>
    <row r="230" spans="1:6" x14ac:dyDescent="0.35">
      <c r="A230" s="1" t="s">
        <v>27</v>
      </c>
      <c r="B230" s="1" t="s">
        <v>42</v>
      </c>
      <c r="C230" s="1" t="s">
        <v>40</v>
      </c>
      <c r="D230" s="1">
        <v>2817</v>
      </c>
      <c r="E230" s="13">
        <v>0</v>
      </c>
      <c r="F230" s="3">
        <v>2637</v>
      </c>
    </row>
    <row r="231" spans="1:6" x14ac:dyDescent="0.35">
      <c r="A231" s="1" t="s">
        <v>28</v>
      </c>
      <c r="B231" s="1" t="s">
        <v>42</v>
      </c>
      <c r="C231" s="1" t="s">
        <v>40</v>
      </c>
      <c r="D231" s="1">
        <v>2875</v>
      </c>
      <c r="E231" s="13">
        <v>0</v>
      </c>
      <c r="F231" s="3">
        <v>2704</v>
      </c>
    </row>
    <row r="232" spans="1:6" x14ac:dyDescent="0.35">
      <c r="A232" s="1" t="s">
        <v>4</v>
      </c>
      <c r="B232" s="1" t="s">
        <v>43</v>
      </c>
      <c r="C232" s="1" t="s">
        <v>33</v>
      </c>
      <c r="D232" s="1">
        <v>940</v>
      </c>
      <c r="E232" s="13">
        <v>2.2180851063829787</v>
      </c>
      <c r="F232" s="3">
        <v>2390.8000000000002</v>
      </c>
    </row>
    <row r="233" spans="1:6" x14ac:dyDescent="0.35">
      <c r="A233" s="1" t="s">
        <v>7</v>
      </c>
      <c r="B233" s="1" t="s">
        <v>43</v>
      </c>
      <c r="C233" s="1" t="s">
        <v>33</v>
      </c>
      <c r="D233" s="1">
        <v>952</v>
      </c>
      <c r="E233" s="13">
        <v>0</v>
      </c>
      <c r="F233" s="3">
        <v>2062.1999999999998</v>
      </c>
    </row>
    <row r="234" spans="1:6" x14ac:dyDescent="0.35">
      <c r="A234" s="1" t="s">
        <v>8</v>
      </c>
      <c r="B234" s="1" t="s">
        <v>43</v>
      </c>
      <c r="C234" s="1" t="s">
        <v>33</v>
      </c>
      <c r="D234" s="1">
        <v>954</v>
      </c>
      <c r="E234" s="13">
        <v>0</v>
      </c>
      <c r="F234" s="3">
        <v>1707.6</v>
      </c>
    </row>
    <row r="235" spans="1:6" x14ac:dyDescent="0.35">
      <c r="A235" s="1" t="s">
        <v>9</v>
      </c>
      <c r="B235" s="1" t="s">
        <v>43</v>
      </c>
      <c r="C235" s="1" t="s">
        <v>33</v>
      </c>
      <c r="D235" s="1">
        <v>1330</v>
      </c>
      <c r="E235" s="13">
        <v>0</v>
      </c>
      <c r="F235" s="3">
        <v>1410.2</v>
      </c>
    </row>
    <row r="236" spans="1:6" x14ac:dyDescent="0.35">
      <c r="A236" s="1" t="s">
        <v>10</v>
      </c>
      <c r="B236" s="1" t="s">
        <v>43</v>
      </c>
      <c r="C236" s="1" t="s">
        <v>33</v>
      </c>
      <c r="D236" s="1">
        <v>1335</v>
      </c>
      <c r="E236" s="13">
        <v>0</v>
      </c>
      <c r="F236" s="3">
        <v>1102.2</v>
      </c>
    </row>
    <row r="237" spans="1:6" x14ac:dyDescent="0.35">
      <c r="A237" s="1" t="s">
        <v>11</v>
      </c>
      <c r="B237" s="1" t="s">
        <v>43</v>
      </c>
      <c r="C237" s="1" t="s">
        <v>33</v>
      </c>
      <c r="D237" s="1">
        <v>1401</v>
      </c>
      <c r="E237" s="13">
        <v>0</v>
      </c>
      <c r="F237" s="3">
        <v>1194.4000000000001</v>
      </c>
    </row>
    <row r="238" spans="1:6" x14ac:dyDescent="0.35">
      <c r="A238" s="1" t="s">
        <v>12</v>
      </c>
      <c r="B238" s="1" t="s">
        <v>43</v>
      </c>
      <c r="C238" s="1" t="s">
        <v>33</v>
      </c>
      <c r="D238" s="1">
        <v>1442</v>
      </c>
      <c r="E238" s="13">
        <v>0</v>
      </c>
      <c r="F238" s="3">
        <v>1292.4000000000001</v>
      </c>
    </row>
    <row r="239" spans="1:6" x14ac:dyDescent="0.35">
      <c r="A239" s="1" t="s">
        <v>13</v>
      </c>
      <c r="B239" s="1" t="s">
        <v>43</v>
      </c>
      <c r="C239" s="1" t="s">
        <v>33</v>
      </c>
      <c r="D239" s="1">
        <v>1466</v>
      </c>
      <c r="E239" s="13">
        <v>0</v>
      </c>
      <c r="F239" s="3">
        <v>1394.8</v>
      </c>
    </row>
    <row r="240" spans="1:6" x14ac:dyDescent="0.35">
      <c r="A240" s="1" t="s">
        <v>14</v>
      </c>
      <c r="B240" s="1" t="s">
        <v>43</v>
      </c>
      <c r="C240" s="1" t="s">
        <v>33</v>
      </c>
      <c r="D240" s="1">
        <v>1463</v>
      </c>
      <c r="E240" s="13">
        <v>0</v>
      </c>
      <c r="F240" s="3">
        <v>1421.4</v>
      </c>
    </row>
    <row r="241" spans="1:6" x14ac:dyDescent="0.35">
      <c r="A241" s="1" t="s">
        <v>15</v>
      </c>
      <c r="B241" s="1" t="s">
        <v>43</v>
      </c>
      <c r="C241" s="1" t="s">
        <v>33</v>
      </c>
      <c r="D241" s="1">
        <v>1555</v>
      </c>
      <c r="E241" s="13">
        <v>0</v>
      </c>
      <c r="F241" s="3">
        <v>1465.4</v>
      </c>
    </row>
    <row r="242" spans="1:6" x14ac:dyDescent="0.35">
      <c r="A242" s="1" t="s">
        <v>16</v>
      </c>
      <c r="B242" s="1" t="s">
        <v>43</v>
      </c>
      <c r="C242" s="1" t="s">
        <v>33</v>
      </c>
      <c r="D242" s="1">
        <v>1745</v>
      </c>
      <c r="E242" s="13">
        <v>0</v>
      </c>
      <c r="F242" s="3">
        <v>1534.2</v>
      </c>
    </row>
    <row r="243" spans="1:6" x14ac:dyDescent="0.35">
      <c r="A243" s="1" t="s">
        <v>17</v>
      </c>
      <c r="B243" s="1" t="s">
        <v>43</v>
      </c>
      <c r="C243" s="1" t="s">
        <v>33</v>
      </c>
      <c r="D243" s="1">
        <v>1679</v>
      </c>
      <c r="E243" s="13">
        <v>0</v>
      </c>
      <c r="F243" s="3">
        <v>1581.6</v>
      </c>
    </row>
    <row r="244" spans="1:6" x14ac:dyDescent="0.35">
      <c r="A244" s="1" t="s">
        <v>18</v>
      </c>
      <c r="B244" s="1" t="s">
        <v>43</v>
      </c>
      <c r="C244" s="1" t="s">
        <v>33</v>
      </c>
      <c r="D244" s="1">
        <v>1700</v>
      </c>
      <c r="E244" s="13">
        <v>0</v>
      </c>
      <c r="F244" s="3">
        <v>1628.4</v>
      </c>
    </row>
    <row r="245" spans="1:6" x14ac:dyDescent="0.35">
      <c r="A245" s="1" t="s">
        <v>19</v>
      </c>
      <c r="B245" s="1" t="s">
        <v>43</v>
      </c>
      <c r="C245" s="1" t="s">
        <v>33</v>
      </c>
      <c r="D245" s="1">
        <v>1734</v>
      </c>
      <c r="E245" s="13">
        <v>0</v>
      </c>
      <c r="F245" s="3">
        <v>1682.6</v>
      </c>
    </row>
    <row r="246" spans="1:6" x14ac:dyDescent="0.35">
      <c r="A246" s="1" t="s">
        <v>20</v>
      </c>
      <c r="B246" s="1" t="s">
        <v>43</v>
      </c>
      <c r="C246" s="1" t="s">
        <v>33</v>
      </c>
      <c r="D246" s="1">
        <v>1812</v>
      </c>
      <c r="E246" s="13">
        <v>0</v>
      </c>
      <c r="F246" s="3">
        <v>1734</v>
      </c>
    </row>
    <row r="247" spans="1:6" x14ac:dyDescent="0.35">
      <c r="A247" s="1" t="s">
        <v>21</v>
      </c>
      <c r="B247" s="1" t="s">
        <v>43</v>
      </c>
      <c r="C247" s="1" t="s">
        <v>33</v>
      </c>
      <c r="D247" s="1">
        <v>1894</v>
      </c>
      <c r="E247" s="13">
        <v>0</v>
      </c>
      <c r="F247" s="3">
        <v>1763.8</v>
      </c>
    </row>
    <row r="248" spans="1:6" x14ac:dyDescent="0.35">
      <c r="A248" s="1" t="s">
        <v>22</v>
      </c>
      <c r="B248" s="1" t="s">
        <v>43</v>
      </c>
      <c r="C248" s="1" t="s">
        <v>33</v>
      </c>
      <c r="D248" s="1">
        <v>2016</v>
      </c>
      <c r="E248" s="13">
        <v>0</v>
      </c>
      <c r="F248" s="3">
        <v>1831.2</v>
      </c>
    </row>
    <row r="249" spans="1:6" x14ac:dyDescent="0.35">
      <c r="A249" s="1" t="s">
        <v>23</v>
      </c>
      <c r="B249" s="1" t="s">
        <v>43</v>
      </c>
      <c r="C249" s="1" t="s">
        <v>33</v>
      </c>
      <c r="D249" s="1">
        <v>2183</v>
      </c>
      <c r="E249" s="13">
        <v>0</v>
      </c>
      <c r="F249" s="3">
        <v>1927.8</v>
      </c>
    </row>
    <row r="250" spans="1:6" x14ac:dyDescent="0.35">
      <c r="A250" s="1" t="s">
        <v>24</v>
      </c>
      <c r="B250" s="1" t="s">
        <v>43</v>
      </c>
      <c r="C250" s="1" t="s">
        <v>33</v>
      </c>
      <c r="D250" s="1">
        <v>2321</v>
      </c>
      <c r="E250" s="13">
        <v>0</v>
      </c>
      <c r="F250" s="3">
        <v>2045.2</v>
      </c>
    </row>
    <row r="251" spans="1:6" x14ac:dyDescent="0.35">
      <c r="A251" s="1" t="s">
        <v>25</v>
      </c>
      <c r="B251" s="1" t="s">
        <v>43</v>
      </c>
      <c r="C251" s="1" t="s">
        <v>33</v>
      </c>
      <c r="D251" s="1">
        <v>2434</v>
      </c>
      <c r="E251" s="13">
        <v>0</v>
      </c>
      <c r="F251" s="3">
        <v>2169.6</v>
      </c>
    </row>
    <row r="252" spans="1:6" x14ac:dyDescent="0.35">
      <c r="A252" s="1" t="s">
        <v>26</v>
      </c>
      <c r="B252" s="1" t="s">
        <v>43</v>
      </c>
      <c r="C252" s="1" t="s">
        <v>33</v>
      </c>
      <c r="D252" s="1">
        <v>2629</v>
      </c>
      <c r="E252" s="13">
        <v>0</v>
      </c>
      <c r="F252" s="3">
        <v>2316.6</v>
      </c>
    </row>
    <row r="253" spans="1:6" x14ac:dyDescent="0.35">
      <c r="A253" s="1" t="s">
        <v>27</v>
      </c>
      <c r="B253" s="1" t="s">
        <v>43</v>
      </c>
      <c r="C253" s="1" t="s">
        <v>33</v>
      </c>
      <c r="D253" s="1">
        <v>2774</v>
      </c>
      <c r="E253" s="13">
        <v>0</v>
      </c>
      <c r="F253" s="3">
        <v>2468.1999999999998</v>
      </c>
    </row>
    <row r="254" spans="1:6" x14ac:dyDescent="0.35">
      <c r="A254" s="1" t="s">
        <v>28</v>
      </c>
      <c r="B254" s="1" t="s">
        <v>43</v>
      </c>
      <c r="C254" s="1" t="s">
        <v>33</v>
      </c>
      <c r="D254" s="1">
        <v>3025</v>
      </c>
      <c r="E254" s="13">
        <v>0</v>
      </c>
      <c r="F254" s="3">
        <v>2636.6</v>
      </c>
    </row>
    <row r="255" spans="1:6" x14ac:dyDescent="0.35">
      <c r="A255" s="1" t="s">
        <v>4</v>
      </c>
      <c r="B255" s="1" t="s">
        <v>44</v>
      </c>
      <c r="C255" s="1" t="s">
        <v>6</v>
      </c>
      <c r="D255" s="1">
        <v>4797</v>
      </c>
      <c r="E255" s="13">
        <v>1.8065457577652699</v>
      </c>
      <c r="F255" s="3">
        <v>3131.8</v>
      </c>
    </row>
    <row r="256" spans="1:6" x14ac:dyDescent="0.35">
      <c r="A256" s="1" t="s">
        <v>7</v>
      </c>
      <c r="B256" s="1" t="s">
        <v>44</v>
      </c>
      <c r="C256" s="1" t="s">
        <v>6</v>
      </c>
      <c r="D256" s="1">
        <v>4539</v>
      </c>
      <c r="E256" s="13">
        <v>0</v>
      </c>
      <c r="F256" s="3">
        <v>3552.8</v>
      </c>
    </row>
    <row r="257" spans="1:6" x14ac:dyDescent="0.35">
      <c r="A257" s="1" t="s">
        <v>8</v>
      </c>
      <c r="B257" s="1" t="s">
        <v>44</v>
      </c>
      <c r="C257" s="1" t="s">
        <v>6</v>
      </c>
      <c r="D257" s="1">
        <v>3857</v>
      </c>
      <c r="E257" s="13">
        <v>0</v>
      </c>
      <c r="F257" s="3">
        <v>3798.4</v>
      </c>
    </row>
    <row r="258" spans="1:6" x14ac:dyDescent="0.35">
      <c r="A258" s="1" t="s">
        <v>9</v>
      </c>
      <c r="B258" s="1" t="s">
        <v>44</v>
      </c>
      <c r="C258" s="1" t="s">
        <v>6</v>
      </c>
      <c r="D258" s="1">
        <v>3917</v>
      </c>
      <c r="E258" s="13">
        <v>0</v>
      </c>
      <c r="F258" s="3">
        <v>4027</v>
      </c>
    </row>
    <row r="259" spans="1:6" x14ac:dyDescent="0.35">
      <c r="A259" s="1" t="s">
        <v>10</v>
      </c>
      <c r="B259" s="1" t="s">
        <v>44</v>
      </c>
      <c r="C259" s="1" t="s">
        <v>6</v>
      </c>
      <c r="D259" s="1">
        <v>4022</v>
      </c>
      <c r="E259" s="13">
        <v>0</v>
      </c>
      <c r="F259" s="3">
        <v>4226.3999999999996</v>
      </c>
    </row>
    <row r="260" spans="1:6" x14ac:dyDescent="0.35">
      <c r="A260" s="1" t="s">
        <v>11</v>
      </c>
      <c r="B260" s="1" t="s">
        <v>44</v>
      </c>
      <c r="C260" s="1" t="s">
        <v>6</v>
      </c>
      <c r="D260" s="1">
        <v>4124</v>
      </c>
      <c r="E260" s="13">
        <v>0</v>
      </c>
      <c r="F260" s="3">
        <v>4091.8</v>
      </c>
    </row>
    <row r="261" spans="1:6" x14ac:dyDescent="0.35">
      <c r="A261" s="1" t="s">
        <v>12</v>
      </c>
      <c r="B261" s="1" t="s">
        <v>44</v>
      </c>
      <c r="C261" s="1" t="s">
        <v>6</v>
      </c>
      <c r="D261" s="1">
        <v>4244</v>
      </c>
      <c r="E261" s="13">
        <v>0</v>
      </c>
      <c r="F261" s="3">
        <v>4032.8</v>
      </c>
    </row>
    <row r="262" spans="1:6" x14ac:dyDescent="0.35">
      <c r="A262" s="1" t="s">
        <v>13</v>
      </c>
      <c r="B262" s="1" t="s">
        <v>44</v>
      </c>
      <c r="C262" s="1" t="s">
        <v>6</v>
      </c>
      <c r="D262" s="1">
        <v>4538</v>
      </c>
      <c r="E262" s="13">
        <v>0</v>
      </c>
      <c r="F262" s="3">
        <v>4169</v>
      </c>
    </row>
    <row r="263" spans="1:6" x14ac:dyDescent="0.35">
      <c r="A263" s="1" t="s">
        <v>14</v>
      </c>
      <c r="B263" s="1" t="s">
        <v>44</v>
      </c>
      <c r="C263" s="1" t="s">
        <v>6</v>
      </c>
      <c r="D263" s="1">
        <v>4822</v>
      </c>
      <c r="E263" s="13">
        <v>0</v>
      </c>
      <c r="F263" s="3">
        <v>4350</v>
      </c>
    </row>
    <row r="264" spans="1:6" x14ac:dyDescent="0.35">
      <c r="A264" s="1" t="s">
        <v>15</v>
      </c>
      <c r="B264" s="1" t="s">
        <v>44</v>
      </c>
      <c r="C264" s="1" t="s">
        <v>6</v>
      </c>
      <c r="D264" s="1">
        <v>5114</v>
      </c>
      <c r="E264" s="13">
        <v>0</v>
      </c>
      <c r="F264" s="3">
        <v>4568.3999999999996</v>
      </c>
    </row>
    <row r="265" spans="1:6" x14ac:dyDescent="0.35">
      <c r="A265" s="1" t="s">
        <v>16</v>
      </c>
      <c r="B265" s="1" t="s">
        <v>44</v>
      </c>
      <c r="C265" s="1" t="s">
        <v>6</v>
      </c>
      <c r="D265" s="1">
        <v>5447</v>
      </c>
      <c r="E265" s="13">
        <v>0</v>
      </c>
      <c r="F265" s="3">
        <v>4833</v>
      </c>
    </row>
    <row r="266" spans="1:6" x14ac:dyDescent="0.35">
      <c r="A266" s="1" t="s">
        <v>17</v>
      </c>
      <c r="B266" s="1" t="s">
        <v>44</v>
      </c>
      <c r="C266" s="1" t="s">
        <v>6</v>
      </c>
      <c r="D266" s="1">
        <v>5718</v>
      </c>
      <c r="E266" s="13">
        <v>0</v>
      </c>
      <c r="F266" s="3">
        <v>5127.8</v>
      </c>
    </row>
    <row r="267" spans="1:6" x14ac:dyDescent="0.35">
      <c r="A267" s="1" t="s">
        <v>18</v>
      </c>
      <c r="B267" s="1" t="s">
        <v>44</v>
      </c>
      <c r="C267" s="1" t="s">
        <v>6</v>
      </c>
      <c r="D267" s="1">
        <v>5997</v>
      </c>
      <c r="E267" s="13">
        <v>0</v>
      </c>
      <c r="F267" s="3">
        <v>5419.6</v>
      </c>
    </row>
    <row r="268" spans="1:6" x14ac:dyDescent="0.35">
      <c r="A268" s="1" t="s">
        <v>19</v>
      </c>
      <c r="B268" s="1" t="s">
        <v>44</v>
      </c>
      <c r="C268" s="1" t="s">
        <v>6</v>
      </c>
      <c r="D268" s="1">
        <v>6121</v>
      </c>
      <c r="E268" s="13">
        <v>0</v>
      </c>
      <c r="F268" s="3">
        <v>5679.4</v>
      </c>
    </row>
    <row r="269" spans="1:6" x14ac:dyDescent="0.35">
      <c r="A269" s="1" t="s">
        <v>20</v>
      </c>
      <c r="B269" s="1" t="s">
        <v>44</v>
      </c>
      <c r="C269" s="1" t="s">
        <v>6</v>
      </c>
      <c r="D269" s="1">
        <v>6344</v>
      </c>
      <c r="E269" s="13">
        <v>0</v>
      </c>
      <c r="F269" s="3">
        <v>5925.4</v>
      </c>
    </row>
    <row r="270" spans="1:6" x14ac:dyDescent="0.35">
      <c r="A270" s="1" t="s">
        <v>21</v>
      </c>
      <c r="B270" s="1" t="s">
        <v>44</v>
      </c>
      <c r="C270" s="1" t="s">
        <v>6</v>
      </c>
      <c r="D270" s="1">
        <v>6562</v>
      </c>
      <c r="E270" s="13">
        <v>0</v>
      </c>
      <c r="F270" s="3">
        <v>6148.4</v>
      </c>
    </row>
    <row r="271" spans="1:6" x14ac:dyDescent="0.35">
      <c r="A271" s="1" t="s">
        <v>22</v>
      </c>
      <c r="B271" s="1" t="s">
        <v>44</v>
      </c>
      <c r="C271" s="1" t="s">
        <v>6</v>
      </c>
      <c r="D271" s="1">
        <v>7137</v>
      </c>
      <c r="E271" s="13">
        <v>0</v>
      </c>
      <c r="F271" s="3">
        <v>6432.2</v>
      </c>
    </row>
    <row r="272" spans="1:6" x14ac:dyDescent="0.35">
      <c r="A272" s="1" t="s">
        <v>23</v>
      </c>
      <c r="B272" s="1" t="s">
        <v>44</v>
      </c>
      <c r="C272" s="1" t="s">
        <v>6</v>
      </c>
      <c r="D272" s="1">
        <v>7901</v>
      </c>
      <c r="E272" s="13">
        <v>0</v>
      </c>
      <c r="F272" s="3">
        <v>6813</v>
      </c>
    </row>
    <row r="273" spans="1:6" x14ac:dyDescent="0.35">
      <c r="A273" s="1" t="s">
        <v>24</v>
      </c>
      <c r="B273" s="1" t="s">
        <v>44</v>
      </c>
      <c r="C273" s="1" t="s">
        <v>6</v>
      </c>
      <c r="D273" s="1">
        <v>9031</v>
      </c>
      <c r="E273" s="13">
        <v>0</v>
      </c>
      <c r="F273" s="3">
        <v>7395</v>
      </c>
    </row>
    <row r="274" spans="1:6" x14ac:dyDescent="0.35">
      <c r="A274" s="1" t="s">
        <v>25</v>
      </c>
      <c r="B274" s="1" t="s">
        <v>44</v>
      </c>
      <c r="C274" s="1" t="s">
        <v>6</v>
      </c>
      <c r="D274" s="1">
        <v>10936</v>
      </c>
      <c r="E274" s="13">
        <v>0</v>
      </c>
      <c r="F274" s="3">
        <v>8313.4</v>
      </c>
    </row>
    <row r="275" spans="1:6" x14ac:dyDescent="0.35">
      <c r="A275" s="1" t="s">
        <v>26</v>
      </c>
      <c r="B275" s="1" t="s">
        <v>44</v>
      </c>
      <c r="C275" s="1" t="s">
        <v>6</v>
      </c>
      <c r="D275" s="1">
        <v>11796</v>
      </c>
      <c r="E275" s="13">
        <v>0</v>
      </c>
      <c r="F275" s="3">
        <v>9360.2000000000007</v>
      </c>
    </row>
    <row r="276" spans="1:6" x14ac:dyDescent="0.35">
      <c r="A276" s="1" t="s">
        <v>27</v>
      </c>
      <c r="B276" s="1" t="s">
        <v>44</v>
      </c>
      <c r="C276" s="1" t="s">
        <v>6</v>
      </c>
      <c r="D276" s="1">
        <v>12829</v>
      </c>
      <c r="E276" s="13">
        <v>0</v>
      </c>
      <c r="F276" s="3">
        <v>10498.6</v>
      </c>
    </row>
    <row r="277" spans="1:6" x14ac:dyDescent="0.35">
      <c r="A277" s="1" t="s">
        <v>28</v>
      </c>
      <c r="B277" s="1" t="s">
        <v>44</v>
      </c>
      <c r="C277" s="1" t="s">
        <v>6</v>
      </c>
      <c r="D277" s="1">
        <v>13463</v>
      </c>
      <c r="E277" s="13">
        <v>0</v>
      </c>
      <c r="F277" s="3">
        <v>11611</v>
      </c>
    </row>
    <row r="278" spans="1:6" x14ac:dyDescent="0.35">
      <c r="A278" s="1" t="s">
        <v>4</v>
      </c>
      <c r="B278" s="1" t="s">
        <v>45</v>
      </c>
      <c r="C278" s="1" t="s">
        <v>6</v>
      </c>
      <c r="D278" s="1">
        <v>2718</v>
      </c>
      <c r="E278" s="13">
        <v>-5.0772626931567331E-2</v>
      </c>
      <c r="F278" s="3">
        <v>10348.4</v>
      </c>
    </row>
    <row r="279" spans="1:6" x14ac:dyDescent="0.35">
      <c r="A279" s="1" t="s">
        <v>7</v>
      </c>
      <c r="B279" s="1" t="s">
        <v>45</v>
      </c>
      <c r="C279" s="1" t="s">
        <v>6</v>
      </c>
      <c r="D279" s="1">
        <v>2419</v>
      </c>
      <c r="E279" s="13">
        <v>0</v>
      </c>
      <c r="F279" s="3">
        <v>8645</v>
      </c>
    </row>
    <row r="280" spans="1:6" x14ac:dyDescent="0.35">
      <c r="A280" s="1" t="s">
        <v>8</v>
      </c>
      <c r="B280" s="1" t="s">
        <v>45</v>
      </c>
      <c r="C280" s="1" t="s">
        <v>6</v>
      </c>
      <c r="D280" s="1">
        <v>2111</v>
      </c>
      <c r="E280" s="13">
        <v>0</v>
      </c>
      <c r="F280" s="3">
        <v>6708</v>
      </c>
    </row>
    <row r="281" spans="1:6" x14ac:dyDescent="0.35">
      <c r="A281" s="1" t="s">
        <v>9</v>
      </c>
      <c r="B281" s="1" t="s">
        <v>45</v>
      </c>
      <c r="C281" s="1" t="s">
        <v>6</v>
      </c>
      <c r="D281" s="1">
        <v>2025</v>
      </c>
      <c r="E281" s="13">
        <v>0</v>
      </c>
      <c r="F281" s="3">
        <v>4547.2</v>
      </c>
    </row>
    <row r="282" spans="1:6" x14ac:dyDescent="0.35">
      <c r="A282" s="1" t="s">
        <v>10</v>
      </c>
      <c r="B282" s="1" t="s">
        <v>45</v>
      </c>
      <c r="C282" s="1" t="s">
        <v>6</v>
      </c>
      <c r="D282" s="1">
        <v>2063</v>
      </c>
      <c r="E282" s="13">
        <v>0</v>
      </c>
      <c r="F282" s="3">
        <v>2267.1999999999998</v>
      </c>
    </row>
    <row r="283" spans="1:6" x14ac:dyDescent="0.35">
      <c r="A283" s="1" t="s">
        <v>11</v>
      </c>
      <c r="B283" s="1" t="s">
        <v>45</v>
      </c>
      <c r="C283" s="1" t="s">
        <v>6</v>
      </c>
      <c r="D283" s="1">
        <v>2119</v>
      </c>
      <c r="E283" s="13">
        <v>0</v>
      </c>
      <c r="F283" s="3">
        <v>2147.4</v>
      </c>
    </row>
    <row r="284" spans="1:6" x14ac:dyDescent="0.35">
      <c r="A284" s="1" t="s">
        <v>12</v>
      </c>
      <c r="B284" s="1" t="s">
        <v>45</v>
      </c>
      <c r="C284" s="1" t="s">
        <v>6</v>
      </c>
      <c r="D284" s="1">
        <v>2253</v>
      </c>
      <c r="E284" s="13">
        <v>0</v>
      </c>
      <c r="F284" s="3">
        <v>2114.1999999999998</v>
      </c>
    </row>
    <row r="285" spans="1:6" x14ac:dyDescent="0.35">
      <c r="A285" s="1" t="s">
        <v>13</v>
      </c>
      <c r="B285" s="1" t="s">
        <v>45</v>
      </c>
      <c r="C285" s="1" t="s">
        <v>6</v>
      </c>
      <c r="D285" s="1">
        <v>2441</v>
      </c>
      <c r="E285" s="13">
        <v>0</v>
      </c>
      <c r="F285" s="3">
        <v>2180.1999999999998</v>
      </c>
    </row>
    <row r="286" spans="1:6" x14ac:dyDescent="0.35">
      <c r="A286" s="1" t="s">
        <v>14</v>
      </c>
      <c r="B286" s="1" t="s">
        <v>45</v>
      </c>
      <c r="C286" s="1" t="s">
        <v>6</v>
      </c>
      <c r="D286" s="1">
        <v>2509</v>
      </c>
      <c r="E286" s="13">
        <v>0</v>
      </c>
      <c r="F286" s="3">
        <v>2277</v>
      </c>
    </row>
    <row r="287" spans="1:6" x14ac:dyDescent="0.35">
      <c r="A287" s="1" t="s">
        <v>15</v>
      </c>
      <c r="B287" s="1" t="s">
        <v>45</v>
      </c>
      <c r="C287" s="1" t="s">
        <v>6</v>
      </c>
      <c r="D287" s="1">
        <v>2645</v>
      </c>
      <c r="E287" s="13">
        <v>0</v>
      </c>
      <c r="F287" s="3">
        <v>2393.4</v>
      </c>
    </row>
    <row r="288" spans="1:6" x14ac:dyDescent="0.35">
      <c r="A288" s="1" t="s">
        <v>16</v>
      </c>
      <c r="B288" s="1" t="s">
        <v>45</v>
      </c>
      <c r="C288" s="1" t="s">
        <v>6</v>
      </c>
      <c r="D288" s="1">
        <v>2716</v>
      </c>
      <c r="E288" s="13">
        <v>0</v>
      </c>
      <c r="F288" s="3">
        <v>2512.8000000000002</v>
      </c>
    </row>
    <row r="289" spans="1:6" x14ac:dyDescent="0.35">
      <c r="A289" s="1" t="s">
        <v>17</v>
      </c>
      <c r="B289" s="1" t="s">
        <v>45</v>
      </c>
      <c r="C289" s="1" t="s">
        <v>6</v>
      </c>
      <c r="D289" s="1">
        <v>2791</v>
      </c>
      <c r="E289" s="13">
        <v>0</v>
      </c>
      <c r="F289" s="3">
        <v>2620.4</v>
      </c>
    </row>
    <row r="290" spans="1:6" x14ac:dyDescent="0.35">
      <c r="A290" s="1" t="s">
        <v>18</v>
      </c>
      <c r="B290" s="1" t="s">
        <v>45</v>
      </c>
      <c r="C290" s="1" t="s">
        <v>6</v>
      </c>
      <c r="D290" s="1">
        <v>2655</v>
      </c>
      <c r="E290" s="13">
        <v>0</v>
      </c>
      <c r="F290" s="3">
        <v>2663.2</v>
      </c>
    </row>
    <row r="291" spans="1:6" x14ac:dyDescent="0.35">
      <c r="A291" s="1" t="s">
        <v>19</v>
      </c>
      <c r="B291" s="1" t="s">
        <v>45</v>
      </c>
      <c r="C291" s="1" t="s">
        <v>6</v>
      </c>
      <c r="D291" s="1">
        <v>2711</v>
      </c>
      <c r="E291" s="13">
        <v>0</v>
      </c>
      <c r="F291" s="3">
        <v>2703.6</v>
      </c>
    </row>
    <row r="292" spans="1:6" x14ac:dyDescent="0.35">
      <c r="A292" s="1" t="s">
        <v>20</v>
      </c>
      <c r="B292" s="1" t="s">
        <v>45</v>
      </c>
      <c r="C292" s="1" t="s">
        <v>6</v>
      </c>
      <c r="D292" s="1">
        <v>2650</v>
      </c>
      <c r="E292" s="13">
        <v>0</v>
      </c>
      <c r="F292" s="3">
        <v>2704.6</v>
      </c>
    </row>
    <row r="293" spans="1:6" x14ac:dyDescent="0.35">
      <c r="A293" s="1" t="s">
        <v>21</v>
      </c>
      <c r="B293" s="1" t="s">
        <v>45</v>
      </c>
      <c r="C293" s="1" t="s">
        <v>6</v>
      </c>
      <c r="D293" s="1">
        <v>2520</v>
      </c>
      <c r="E293" s="13">
        <v>0</v>
      </c>
      <c r="F293" s="3">
        <v>2665.4</v>
      </c>
    </row>
    <row r="294" spans="1:6" x14ac:dyDescent="0.35">
      <c r="A294" s="1" t="s">
        <v>22</v>
      </c>
      <c r="B294" s="1" t="s">
        <v>45</v>
      </c>
      <c r="C294" s="1" t="s">
        <v>6</v>
      </c>
      <c r="D294" s="1">
        <v>2576</v>
      </c>
      <c r="E294" s="13">
        <v>0</v>
      </c>
      <c r="F294" s="3">
        <v>2622.4</v>
      </c>
    </row>
    <row r="295" spans="1:6" x14ac:dyDescent="0.35">
      <c r="A295" s="1" t="s">
        <v>23</v>
      </c>
      <c r="B295" s="1" t="s">
        <v>45</v>
      </c>
      <c r="C295" s="1" t="s">
        <v>6</v>
      </c>
      <c r="D295" s="1">
        <v>2548</v>
      </c>
      <c r="E295" s="13">
        <v>0</v>
      </c>
      <c r="F295" s="3">
        <v>2601</v>
      </c>
    </row>
    <row r="296" spans="1:6" x14ac:dyDescent="0.35">
      <c r="A296" s="1" t="s">
        <v>24</v>
      </c>
      <c r="B296" s="1" t="s">
        <v>45</v>
      </c>
      <c r="C296" s="1" t="s">
        <v>6</v>
      </c>
      <c r="D296" s="1">
        <v>2544</v>
      </c>
      <c r="E296" s="13">
        <v>0</v>
      </c>
      <c r="F296" s="3">
        <v>2567.6</v>
      </c>
    </row>
    <row r="297" spans="1:6" x14ac:dyDescent="0.35">
      <c r="A297" s="1" t="s">
        <v>25</v>
      </c>
      <c r="B297" s="1" t="s">
        <v>45</v>
      </c>
      <c r="C297" s="1" t="s">
        <v>6</v>
      </c>
      <c r="D297" s="1">
        <v>2534</v>
      </c>
      <c r="E297" s="13">
        <v>0</v>
      </c>
      <c r="F297" s="3">
        <v>2544.4</v>
      </c>
    </row>
    <row r="298" spans="1:6" x14ac:dyDescent="0.35">
      <c r="A298" s="1" t="s">
        <v>26</v>
      </c>
      <c r="B298" s="1" t="s">
        <v>45</v>
      </c>
      <c r="C298" s="1" t="s">
        <v>6</v>
      </c>
      <c r="D298" s="1">
        <v>2532</v>
      </c>
      <c r="E298" s="13">
        <v>0</v>
      </c>
      <c r="F298" s="3">
        <v>2546.8000000000002</v>
      </c>
    </row>
    <row r="299" spans="1:6" x14ac:dyDescent="0.35">
      <c r="A299" s="1" t="s">
        <v>27</v>
      </c>
      <c r="B299" s="1" t="s">
        <v>45</v>
      </c>
      <c r="C299" s="1" t="s">
        <v>6</v>
      </c>
      <c r="D299" s="1">
        <v>2580</v>
      </c>
      <c r="E299" s="13">
        <v>0</v>
      </c>
      <c r="F299" s="3">
        <v>2547.6</v>
      </c>
    </row>
    <row r="300" spans="1:6" x14ac:dyDescent="0.35">
      <c r="A300" s="1" t="s">
        <v>28</v>
      </c>
      <c r="B300" s="1" t="s">
        <v>45</v>
      </c>
      <c r="C300" s="1" t="s">
        <v>6</v>
      </c>
      <c r="D300" s="1">
        <v>2580</v>
      </c>
      <c r="E300" s="13">
        <v>0</v>
      </c>
      <c r="F300" s="3">
        <v>2554</v>
      </c>
    </row>
    <row r="301" spans="1:6" x14ac:dyDescent="0.35">
      <c r="A301" s="1" t="s">
        <v>4</v>
      </c>
      <c r="B301" s="1" t="s">
        <v>46</v>
      </c>
      <c r="C301" s="1" t="s">
        <v>35</v>
      </c>
      <c r="D301" s="1">
        <v>5283</v>
      </c>
      <c r="E301" s="13">
        <v>3.0367215597198562</v>
      </c>
      <c r="F301" s="3">
        <v>3101.8</v>
      </c>
    </row>
    <row r="302" spans="1:6" x14ac:dyDescent="0.35">
      <c r="A302" s="1" t="s">
        <v>7</v>
      </c>
      <c r="B302" s="1" t="s">
        <v>46</v>
      </c>
      <c r="C302" s="1" t="s">
        <v>35</v>
      </c>
      <c r="D302" s="1">
        <v>5343</v>
      </c>
      <c r="E302" s="13">
        <v>0</v>
      </c>
      <c r="F302" s="3">
        <v>3663.6</v>
      </c>
    </row>
    <row r="303" spans="1:6" x14ac:dyDescent="0.35">
      <c r="A303" s="1" t="s">
        <v>8</v>
      </c>
      <c r="B303" s="1" t="s">
        <v>46</v>
      </c>
      <c r="C303" s="1" t="s">
        <v>35</v>
      </c>
      <c r="D303" s="1">
        <v>5388</v>
      </c>
      <c r="E303" s="13">
        <v>0</v>
      </c>
      <c r="F303" s="3">
        <v>4234.8</v>
      </c>
    </row>
    <row r="304" spans="1:6" x14ac:dyDescent="0.35">
      <c r="A304" s="1" t="s">
        <v>9</v>
      </c>
      <c r="B304" s="1" t="s">
        <v>46</v>
      </c>
      <c r="C304" s="1" t="s">
        <v>35</v>
      </c>
      <c r="D304" s="1">
        <v>5506</v>
      </c>
      <c r="E304" s="13">
        <v>0</v>
      </c>
      <c r="F304" s="3">
        <v>4820</v>
      </c>
    </row>
    <row r="305" spans="1:6" x14ac:dyDescent="0.35">
      <c r="A305" s="1" t="s">
        <v>10</v>
      </c>
      <c r="B305" s="1" t="s">
        <v>46</v>
      </c>
      <c r="C305" s="1" t="s">
        <v>35</v>
      </c>
      <c r="D305" s="1">
        <v>6283</v>
      </c>
      <c r="E305" s="13">
        <v>0</v>
      </c>
      <c r="F305" s="3">
        <v>5560.6</v>
      </c>
    </row>
    <row r="306" spans="1:6" x14ac:dyDescent="0.35">
      <c r="A306" s="1" t="s">
        <v>11</v>
      </c>
      <c r="B306" s="1" t="s">
        <v>46</v>
      </c>
      <c r="C306" s="1" t="s">
        <v>35</v>
      </c>
      <c r="D306" s="1">
        <v>6374</v>
      </c>
      <c r="E306" s="13">
        <v>0</v>
      </c>
      <c r="F306" s="3">
        <v>5778.8</v>
      </c>
    </row>
    <row r="307" spans="1:6" x14ac:dyDescent="0.35">
      <c r="A307" s="1" t="s">
        <v>12</v>
      </c>
      <c r="B307" s="1" t="s">
        <v>46</v>
      </c>
      <c r="C307" s="1" t="s">
        <v>35</v>
      </c>
      <c r="D307" s="1">
        <v>6572</v>
      </c>
      <c r="E307" s="13">
        <v>0</v>
      </c>
      <c r="F307" s="3">
        <v>6024.6</v>
      </c>
    </row>
    <row r="308" spans="1:6" x14ac:dyDescent="0.35">
      <c r="A308" s="1" t="s">
        <v>13</v>
      </c>
      <c r="B308" s="1" t="s">
        <v>46</v>
      </c>
      <c r="C308" s="1" t="s">
        <v>35</v>
      </c>
      <c r="D308" s="1">
        <v>6855</v>
      </c>
      <c r="E308" s="13">
        <v>0</v>
      </c>
      <c r="F308" s="3">
        <v>6318</v>
      </c>
    </row>
    <row r="309" spans="1:6" x14ac:dyDescent="0.35">
      <c r="A309" s="1" t="s">
        <v>14</v>
      </c>
      <c r="B309" s="1" t="s">
        <v>46</v>
      </c>
      <c r="C309" s="1" t="s">
        <v>35</v>
      </c>
      <c r="D309" s="1">
        <v>7167</v>
      </c>
      <c r="E309" s="13">
        <v>0</v>
      </c>
      <c r="F309" s="3">
        <v>6650.2</v>
      </c>
    </row>
    <row r="310" spans="1:6" x14ac:dyDescent="0.35">
      <c r="A310" s="1" t="s">
        <v>15</v>
      </c>
      <c r="B310" s="1" t="s">
        <v>46</v>
      </c>
      <c r="C310" s="1" t="s">
        <v>35</v>
      </c>
      <c r="D310" s="1">
        <v>7514</v>
      </c>
      <c r="E310" s="13">
        <v>0</v>
      </c>
      <c r="F310" s="3">
        <v>6896.4</v>
      </c>
    </row>
    <row r="311" spans="1:6" x14ac:dyDescent="0.35">
      <c r="A311" s="1" t="s">
        <v>16</v>
      </c>
      <c r="B311" s="1" t="s">
        <v>46</v>
      </c>
      <c r="C311" s="1" t="s">
        <v>35</v>
      </c>
      <c r="D311" s="1">
        <v>8149</v>
      </c>
      <c r="E311" s="13">
        <v>0</v>
      </c>
      <c r="F311" s="3">
        <v>7251.4</v>
      </c>
    </row>
    <row r="312" spans="1:6" x14ac:dyDescent="0.35">
      <c r="A312" s="1" t="s">
        <v>17</v>
      </c>
      <c r="B312" s="1" t="s">
        <v>46</v>
      </c>
      <c r="C312" s="1" t="s">
        <v>35</v>
      </c>
      <c r="D312" s="1">
        <v>8838</v>
      </c>
      <c r="E312" s="13">
        <v>0</v>
      </c>
      <c r="F312" s="3">
        <v>7704.6</v>
      </c>
    </row>
    <row r="313" spans="1:6" x14ac:dyDescent="0.35">
      <c r="A313" s="1" t="s">
        <v>18</v>
      </c>
      <c r="B313" s="1" t="s">
        <v>46</v>
      </c>
      <c r="C313" s="1" t="s">
        <v>35</v>
      </c>
      <c r="D313" s="1">
        <v>9599</v>
      </c>
      <c r="E313" s="13">
        <v>0</v>
      </c>
      <c r="F313" s="3">
        <v>8253.4</v>
      </c>
    </row>
    <row r="314" spans="1:6" x14ac:dyDescent="0.35">
      <c r="A314" s="1" t="s">
        <v>19</v>
      </c>
      <c r="B314" s="1" t="s">
        <v>46</v>
      </c>
      <c r="C314" s="1" t="s">
        <v>35</v>
      </c>
      <c r="D314" s="1">
        <v>10779</v>
      </c>
      <c r="E314" s="13">
        <v>0</v>
      </c>
      <c r="F314" s="3">
        <v>8975.7999999999993</v>
      </c>
    </row>
    <row r="315" spans="1:6" x14ac:dyDescent="0.35">
      <c r="A315" s="1" t="s">
        <v>20</v>
      </c>
      <c r="B315" s="1" t="s">
        <v>46</v>
      </c>
      <c r="C315" s="1" t="s">
        <v>35</v>
      </c>
      <c r="D315" s="1">
        <v>12148</v>
      </c>
      <c r="E315" s="13">
        <v>0</v>
      </c>
      <c r="F315" s="3">
        <v>9902.6</v>
      </c>
    </row>
    <row r="316" spans="1:6" x14ac:dyDescent="0.35">
      <c r="A316" s="1" t="s">
        <v>21</v>
      </c>
      <c r="B316" s="1" t="s">
        <v>46</v>
      </c>
      <c r="C316" s="1" t="s">
        <v>35</v>
      </c>
      <c r="D316" s="1">
        <v>13445</v>
      </c>
      <c r="E316" s="13">
        <v>0</v>
      </c>
      <c r="F316" s="3">
        <v>10961.8</v>
      </c>
    </row>
    <row r="317" spans="1:6" x14ac:dyDescent="0.35">
      <c r="A317" s="1" t="s">
        <v>22</v>
      </c>
      <c r="B317" s="1" t="s">
        <v>46</v>
      </c>
      <c r="C317" s="1" t="s">
        <v>35</v>
      </c>
      <c r="D317" s="1">
        <v>14713</v>
      </c>
      <c r="E317" s="13">
        <v>0</v>
      </c>
      <c r="F317" s="3">
        <v>12136.8</v>
      </c>
    </row>
    <row r="318" spans="1:6" x14ac:dyDescent="0.35">
      <c r="A318" s="1" t="s">
        <v>23</v>
      </c>
      <c r="B318" s="1" t="s">
        <v>46</v>
      </c>
      <c r="C318" s="1" t="s">
        <v>35</v>
      </c>
      <c r="D318" s="1">
        <v>15911</v>
      </c>
      <c r="E318" s="13">
        <v>0</v>
      </c>
      <c r="F318" s="3">
        <v>13399.2</v>
      </c>
    </row>
    <row r="319" spans="1:6" x14ac:dyDescent="0.35">
      <c r="A319" s="1" t="s">
        <v>24</v>
      </c>
      <c r="B319" s="1" t="s">
        <v>46</v>
      </c>
      <c r="C319" s="1" t="s">
        <v>35</v>
      </c>
      <c r="D319" s="1">
        <v>17109</v>
      </c>
      <c r="E319" s="13">
        <v>0</v>
      </c>
      <c r="F319" s="3">
        <v>14665.2</v>
      </c>
    </row>
    <row r="320" spans="1:6" x14ac:dyDescent="0.35">
      <c r="A320" s="1" t="s">
        <v>25</v>
      </c>
      <c r="B320" s="1" t="s">
        <v>46</v>
      </c>
      <c r="C320" s="1" t="s">
        <v>35</v>
      </c>
      <c r="D320" s="1">
        <v>17999</v>
      </c>
      <c r="E320" s="13">
        <v>0</v>
      </c>
      <c r="F320" s="3">
        <v>15835.4</v>
      </c>
    </row>
    <row r="321" spans="1:6" x14ac:dyDescent="0.35">
      <c r="A321" s="1" t="s">
        <v>26</v>
      </c>
      <c r="B321" s="1" t="s">
        <v>46</v>
      </c>
      <c r="C321" s="1" t="s">
        <v>35</v>
      </c>
      <c r="D321" s="1">
        <v>19004</v>
      </c>
      <c r="E321" s="13">
        <v>0</v>
      </c>
      <c r="F321" s="3">
        <v>16947.2</v>
      </c>
    </row>
    <row r="322" spans="1:6" x14ac:dyDescent="0.35">
      <c r="A322" s="1" t="s">
        <v>27</v>
      </c>
      <c r="B322" s="1" t="s">
        <v>46</v>
      </c>
      <c r="C322" s="1" t="s">
        <v>35</v>
      </c>
      <c r="D322" s="1">
        <v>20122</v>
      </c>
      <c r="E322" s="13">
        <v>0</v>
      </c>
      <c r="F322" s="3">
        <v>18029</v>
      </c>
    </row>
    <row r="323" spans="1:6" x14ac:dyDescent="0.35">
      <c r="A323" s="1" t="s">
        <v>28</v>
      </c>
      <c r="B323" s="1" t="s">
        <v>46</v>
      </c>
      <c r="C323" s="1" t="s">
        <v>35</v>
      </c>
      <c r="D323" s="1">
        <v>21326</v>
      </c>
      <c r="E323" s="13">
        <v>0</v>
      </c>
      <c r="F323" s="3">
        <v>19112</v>
      </c>
    </row>
    <row r="324" spans="1:6" x14ac:dyDescent="0.35">
      <c r="A324" s="1" t="s">
        <v>4</v>
      </c>
      <c r="B324" s="1" t="s">
        <v>47</v>
      </c>
      <c r="C324" s="1" t="s">
        <v>37</v>
      </c>
      <c r="D324" s="1">
        <v>6094</v>
      </c>
      <c r="E324" s="13">
        <v>1.6329176238923531</v>
      </c>
      <c r="F324" s="3">
        <v>16909</v>
      </c>
    </row>
    <row r="325" spans="1:6" x14ac:dyDescent="0.35">
      <c r="A325" s="1" t="s">
        <v>7</v>
      </c>
      <c r="B325" s="1" t="s">
        <v>47</v>
      </c>
      <c r="C325" s="1" t="s">
        <v>37</v>
      </c>
      <c r="D325" s="1">
        <v>6238</v>
      </c>
      <c r="E325" s="13">
        <v>0</v>
      </c>
      <c r="F325" s="3">
        <v>14556.8</v>
      </c>
    </row>
    <row r="326" spans="1:6" x14ac:dyDescent="0.35">
      <c r="A326" s="1" t="s">
        <v>8</v>
      </c>
      <c r="B326" s="1" t="s">
        <v>47</v>
      </c>
      <c r="C326" s="1" t="s">
        <v>37</v>
      </c>
      <c r="D326" s="1">
        <v>6379</v>
      </c>
      <c r="E326" s="13">
        <v>0</v>
      </c>
      <c r="F326" s="3">
        <v>12031.8</v>
      </c>
    </row>
    <row r="327" spans="1:6" x14ac:dyDescent="0.35">
      <c r="A327" s="1" t="s">
        <v>9</v>
      </c>
      <c r="B327" s="1" t="s">
        <v>47</v>
      </c>
      <c r="C327" s="1" t="s">
        <v>37</v>
      </c>
      <c r="D327" s="1">
        <v>6567</v>
      </c>
      <c r="E327" s="13">
        <v>0</v>
      </c>
      <c r="F327" s="3">
        <v>9320.7999999999993</v>
      </c>
    </row>
    <row r="328" spans="1:6" x14ac:dyDescent="0.35">
      <c r="A328" s="1" t="s">
        <v>10</v>
      </c>
      <c r="B328" s="1" t="s">
        <v>47</v>
      </c>
      <c r="C328" s="1" t="s">
        <v>37</v>
      </c>
      <c r="D328" s="1">
        <v>6769</v>
      </c>
      <c r="E328" s="13">
        <v>0</v>
      </c>
      <c r="F328" s="3">
        <v>6409.4</v>
      </c>
    </row>
    <row r="329" spans="1:6" x14ac:dyDescent="0.35">
      <c r="A329" s="1" t="s">
        <v>11</v>
      </c>
      <c r="B329" s="1" t="s">
        <v>47</v>
      </c>
      <c r="C329" s="1" t="s">
        <v>37</v>
      </c>
      <c r="D329" s="1">
        <v>6978</v>
      </c>
      <c r="E329" s="13">
        <v>0</v>
      </c>
      <c r="F329" s="3">
        <v>6586.2</v>
      </c>
    </row>
    <row r="330" spans="1:6" x14ac:dyDescent="0.35">
      <c r="A330" s="1" t="s">
        <v>12</v>
      </c>
      <c r="B330" s="1" t="s">
        <v>47</v>
      </c>
      <c r="C330" s="1" t="s">
        <v>37</v>
      </c>
      <c r="D330" s="1">
        <v>7210</v>
      </c>
      <c r="E330" s="13">
        <v>0</v>
      </c>
      <c r="F330" s="3">
        <v>6780.6</v>
      </c>
    </row>
    <row r="331" spans="1:6" x14ac:dyDescent="0.35">
      <c r="A331" s="1" t="s">
        <v>13</v>
      </c>
      <c r="B331" s="1" t="s">
        <v>47</v>
      </c>
      <c r="C331" s="1" t="s">
        <v>37</v>
      </c>
      <c r="D331" s="1">
        <v>7455</v>
      </c>
      <c r="E331" s="13">
        <v>0</v>
      </c>
      <c r="F331" s="3">
        <v>6995.8</v>
      </c>
    </row>
    <row r="332" spans="1:6" x14ac:dyDescent="0.35">
      <c r="A332" s="1" t="s">
        <v>14</v>
      </c>
      <c r="B332" s="1" t="s">
        <v>47</v>
      </c>
      <c r="C332" s="1" t="s">
        <v>37</v>
      </c>
      <c r="D332" s="1">
        <v>7679</v>
      </c>
      <c r="E332" s="13">
        <v>0</v>
      </c>
      <c r="F332" s="3">
        <v>7218.2</v>
      </c>
    </row>
    <row r="333" spans="1:6" x14ac:dyDescent="0.35">
      <c r="A333" s="1" t="s">
        <v>15</v>
      </c>
      <c r="B333" s="1" t="s">
        <v>47</v>
      </c>
      <c r="C333" s="1" t="s">
        <v>37</v>
      </c>
      <c r="D333" s="1">
        <v>8044</v>
      </c>
      <c r="E333" s="13">
        <v>0</v>
      </c>
      <c r="F333" s="3">
        <v>7473.2</v>
      </c>
    </row>
    <row r="334" spans="1:6" x14ac:dyDescent="0.35">
      <c r="A334" s="1" t="s">
        <v>16</v>
      </c>
      <c r="B334" s="1" t="s">
        <v>47</v>
      </c>
      <c r="C334" s="1" t="s">
        <v>37</v>
      </c>
      <c r="D334" s="1">
        <v>8469</v>
      </c>
      <c r="E334" s="13">
        <v>0</v>
      </c>
      <c r="F334" s="3">
        <v>7771.4</v>
      </c>
    </row>
    <row r="335" spans="1:6" x14ac:dyDescent="0.35">
      <c r="A335" s="1" t="s">
        <v>17</v>
      </c>
      <c r="B335" s="1" t="s">
        <v>47</v>
      </c>
      <c r="C335" s="1" t="s">
        <v>37</v>
      </c>
      <c r="D335" s="1">
        <v>8734</v>
      </c>
      <c r="E335" s="13">
        <v>0</v>
      </c>
      <c r="F335" s="3">
        <v>8076.2</v>
      </c>
    </row>
    <row r="336" spans="1:6" x14ac:dyDescent="0.35">
      <c r="A336" s="1" t="s">
        <v>18</v>
      </c>
      <c r="B336" s="1" t="s">
        <v>47</v>
      </c>
      <c r="C336" s="1" t="s">
        <v>37</v>
      </c>
      <c r="D336" s="1">
        <v>9089</v>
      </c>
      <c r="E336" s="13">
        <v>0</v>
      </c>
      <c r="F336" s="3">
        <v>8403</v>
      </c>
    </row>
    <row r="337" spans="1:6" x14ac:dyDescent="0.35">
      <c r="A337" s="1" t="s">
        <v>19</v>
      </c>
      <c r="B337" s="1" t="s">
        <v>47</v>
      </c>
      <c r="C337" s="1" t="s">
        <v>37</v>
      </c>
      <c r="D337" s="1">
        <v>9542</v>
      </c>
      <c r="E337" s="13">
        <v>0</v>
      </c>
      <c r="F337" s="3">
        <v>8775.6</v>
      </c>
    </row>
    <row r="338" spans="1:6" x14ac:dyDescent="0.35">
      <c r="A338" s="1" t="s">
        <v>20</v>
      </c>
      <c r="B338" s="1" t="s">
        <v>47</v>
      </c>
      <c r="C338" s="1" t="s">
        <v>37</v>
      </c>
      <c r="D338" s="1">
        <v>10153</v>
      </c>
      <c r="E338" s="13">
        <v>0</v>
      </c>
      <c r="F338" s="3">
        <v>9197.4</v>
      </c>
    </row>
    <row r="339" spans="1:6" x14ac:dyDescent="0.35">
      <c r="A339" s="1" t="s">
        <v>21</v>
      </c>
      <c r="B339" s="1" t="s">
        <v>47</v>
      </c>
      <c r="C339" s="1" t="s">
        <v>37</v>
      </c>
      <c r="D339" s="1">
        <v>10402</v>
      </c>
      <c r="E339" s="13">
        <v>0</v>
      </c>
      <c r="F339" s="3">
        <v>9584</v>
      </c>
    </row>
    <row r="340" spans="1:6" x14ac:dyDescent="0.35">
      <c r="A340" s="1" t="s">
        <v>22</v>
      </c>
      <c r="B340" s="1" t="s">
        <v>47</v>
      </c>
      <c r="C340" s="1" t="s">
        <v>37</v>
      </c>
      <c r="D340" s="1">
        <v>11102</v>
      </c>
      <c r="E340" s="13">
        <v>0</v>
      </c>
      <c r="F340" s="3">
        <v>10057.6</v>
      </c>
    </row>
    <row r="341" spans="1:6" x14ac:dyDescent="0.35">
      <c r="A341" s="1" t="s">
        <v>23</v>
      </c>
      <c r="B341" s="1" t="s">
        <v>47</v>
      </c>
      <c r="C341" s="1" t="s">
        <v>37</v>
      </c>
      <c r="D341" s="1">
        <v>11655</v>
      </c>
      <c r="E341" s="13">
        <v>0</v>
      </c>
      <c r="F341" s="3">
        <v>10570.8</v>
      </c>
    </row>
    <row r="342" spans="1:6" x14ac:dyDescent="0.35">
      <c r="A342" s="1" t="s">
        <v>24</v>
      </c>
      <c r="B342" s="1" t="s">
        <v>47</v>
      </c>
      <c r="C342" s="1" t="s">
        <v>37</v>
      </c>
      <c r="D342" s="1">
        <v>12024</v>
      </c>
      <c r="E342" s="13">
        <v>0</v>
      </c>
      <c r="F342" s="3">
        <v>11067.2</v>
      </c>
    </row>
    <row r="343" spans="1:6" x14ac:dyDescent="0.35">
      <c r="A343" s="1" t="s">
        <v>25</v>
      </c>
      <c r="B343" s="1" t="s">
        <v>47</v>
      </c>
      <c r="C343" s="1" t="s">
        <v>37</v>
      </c>
      <c r="D343" s="1">
        <v>13703</v>
      </c>
      <c r="E343" s="13">
        <v>0</v>
      </c>
      <c r="F343" s="3">
        <v>11777.2</v>
      </c>
    </row>
    <row r="344" spans="1:6" x14ac:dyDescent="0.35">
      <c r="A344" s="1" t="s">
        <v>26</v>
      </c>
      <c r="B344" s="1" t="s">
        <v>47</v>
      </c>
      <c r="C344" s="1" t="s">
        <v>37</v>
      </c>
      <c r="D344" s="1">
        <v>14305</v>
      </c>
      <c r="E344" s="13">
        <v>0</v>
      </c>
      <c r="F344" s="3">
        <v>12557.8</v>
      </c>
    </row>
    <row r="345" spans="1:6" x14ac:dyDescent="0.35">
      <c r="A345" s="1" t="s">
        <v>27</v>
      </c>
      <c r="B345" s="1" t="s">
        <v>47</v>
      </c>
      <c r="C345" s="1" t="s">
        <v>37</v>
      </c>
      <c r="D345" s="1">
        <v>15042</v>
      </c>
      <c r="E345" s="13">
        <v>0</v>
      </c>
      <c r="F345" s="3">
        <v>13345.8</v>
      </c>
    </row>
    <row r="346" spans="1:6" x14ac:dyDescent="0.35">
      <c r="A346" s="1" t="s">
        <v>28</v>
      </c>
      <c r="B346" s="1" t="s">
        <v>47</v>
      </c>
      <c r="C346" s="1" t="s">
        <v>37</v>
      </c>
      <c r="D346" s="1">
        <v>16045</v>
      </c>
      <c r="E346" s="13">
        <v>0</v>
      </c>
      <c r="F346" s="3">
        <v>14223.8</v>
      </c>
    </row>
    <row r="347" spans="1:6" x14ac:dyDescent="0.35">
      <c r="A347" s="1" t="s">
        <v>4</v>
      </c>
      <c r="B347" s="1" t="s">
        <v>48</v>
      </c>
      <c r="C347" s="1" t="s">
        <v>30</v>
      </c>
      <c r="D347" s="1">
        <v>68</v>
      </c>
      <c r="E347" s="13">
        <v>-7.3529411764705885E-2</v>
      </c>
      <c r="F347" s="3">
        <v>11832.6</v>
      </c>
    </row>
    <row r="348" spans="1:6" x14ac:dyDescent="0.35">
      <c r="A348" s="1" t="s">
        <v>7</v>
      </c>
      <c r="B348" s="1" t="s">
        <v>48</v>
      </c>
      <c r="C348" s="1" t="s">
        <v>30</v>
      </c>
      <c r="D348" s="1">
        <v>69</v>
      </c>
      <c r="E348" s="13">
        <v>0</v>
      </c>
      <c r="F348" s="3">
        <v>9105.7999999999993</v>
      </c>
    </row>
    <row r="349" spans="1:6" x14ac:dyDescent="0.35">
      <c r="A349" s="1" t="s">
        <v>8</v>
      </c>
      <c r="B349" s="1" t="s">
        <v>48</v>
      </c>
      <c r="C349" s="1" t="s">
        <v>30</v>
      </c>
      <c r="D349" s="1">
        <v>71</v>
      </c>
      <c r="E349" s="13">
        <v>0</v>
      </c>
      <c r="F349" s="3">
        <v>6259</v>
      </c>
    </row>
    <row r="350" spans="1:6" x14ac:dyDescent="0.35">
      <c r="A350" s="1" t="s">
        <v>9</v>
      </c>
      <c r="B350" s="1" t="s">
        <v>48</v>
      </c>
      <c r="C350" s="1" t="s">
        <v>30</v>
      </c>
      <c r="D350" s="1">
        <v>75</v>
      </c>
      <c r="E350" s="13">
        <v>0</v>
      </c>
      <c r="F350" s="3">
        <v>3265.6</v>
      </c>
    </row>
    <row r="351" spans="1:6" x14ac:dyDescent="0.35">
      <c r="A351" s="1" t="s">
        <v>10</v>
      </c>
      <c r="B351" s="1" t="s">
        <v>48</v>
      </c>
      <c r="C351" s="1" t="s">
        <v>30</v>
      </c>
      <c r="D351" s="1">
        <v>77</v>
      </c>
      <c r="E351" s="13">
        <v>0</v>
      </c>
      <c r="F351" s="3">
        <v>72</v>
      </c>
    </row>
    <row r="352" spans="1:6" x14ac:dyDescent="0.35">
      <c r="A352" s="1" t="s">
        <v>11</v>
      </c>
      <c r="B352" s="1" t="s">
        <v>48</v>
      </c>
      <c r="C352" s="1" t="s">
        <v>30</v>
      </c>
      <c r="D352" s="1">
        <v>77</v>
      </c>
      <c r="E352" s="13">
        <v>0</v>
      </c>
      <c r="F352" s="3">
        <v>73.8</v>
      </c>
    </row>
    <row r="353" spans="1:6" x14ac:dyDescent="0.35">
      <c r="A353" s="1" t="s">
        <v>12</v>
      </c>
      <c r="B353" s="1" t="s">
        <v>48</v>
      </c>
      <c r="C353" s="1" t="s">
        <v>30</v>
      </c>
      <c r="D353" s="1">
        <v>78</v>
      </c>
      <c r="E353" s="13">
        <v>0</v>
      </c>
      <c r="F353" s="3">
        <v>75.599999999999994</v>
      </c>
    </row>
    <row r="354" spans="1:6" x14ac:dyDescent="0.35">
      <c r="A354" s="1" t="s">
        <v>13</v>
      </c>
      <c r="B354" s="1" t="s">
        <v>48</v>
      </c>
      <c r="C354" s="1" t="s">
        <v>30</v>
      </c>
      <c r="D354" s="1">
        <v>78</v>
      </c>
      <c r="E354" s="13">
        <v>0</v>
      </c>
      <c r="F354" s="3">
        <v>77</v>
      </c>
    </row>
    <row r="355" spans="1:6" x14ac:dyDescent="0.35">
      <c r="A355" s="1" t="s">
        <v>14</v>
      </c>
      <c r="B355" s="1" t="s">
        <v>48</v>
      </c>
      <c r="C355" s="1" t="s">
        <v>30</v>
      </c>
      <c r="D355" s="1">
        <v>78</v>
      </c>
      <c r="E355" s="13">
        <v>0</v>
      </c>
      <c r="F355" s="3">
        <v>77.599999999999994</v>
      </c>
    </row>
    <row r="356" spans="1:6" x14ac:dyDescent="0.35">
      <c r="A356" s="1" t="s">
        <v>15</v>
      </c>
      <c r="B356" s="1" t="s">
        <v>48</v>
      </c>
      <c r="C356" s="1" t="s">
        <v>30</v>
      </c>
      <c r="D356" s="1">
        <v>78</v>
      </c>
      <c r="E356" s="13">
        <v>0</v>
      </c>
      <c r="F356" s="3">
        <v>77.8</v>
      </c>
    </row>
    <row r="357" spans="1:6" x14ac:dyDescent="0.35">
      <c r="A357" s="1" t="s">
        <v>16</v>
      </c>
      <c r="B357" s="1" t="s">
        <v>48</v>
      </c>
      <c r="C357" s="1" t="s">
        <v>30</v>
      </c>
      <c r="D357" s="1">
        <v>79</v>
      </c>
      <c r="E357" s="13">
        <v>0</v>
      </c>
      <c r="F357" s="3">
        <v>78.2</v>
      </c>
    </row>
    <row r="358" spans="1:6" x14ac:dyDescent="0.35">
      <c r="A358" s="1" t="s">
        <v>17</v>
      </c>
      <c r="B358" s="1" t="s">
        <v>48</v>
      </c>
      <c r="C358" s="1" t="s">
        <v>30</v>
      </c>
      <c r="D358" s="1">
        <v>80</v>
      </c>
      <c r="E358" s="13">
        <v>0</v>
      </c>
      <c r="F358" s="3">
        <v>78.599999999999994</v>
      </c>
    </row>
    <row r="359" spans="1:6" x14ac:dyDescent="0.35">
      <c r="A359" s="1" t="s">
        <v>18</v>
      </c>
      <c r="B359" s="1" t="s">
        <v>48</v>
      </c>
      <c r="C359" s="1" t="s">
        <v>30</v>
      </c>
      <c r="D359" s="1">
        <v>82</v>
      </c>
      <c r="E359" s="13">
        <v>0</v>
      </c>
      <c r="F359" s="3">
        <v>79.400000000000006</v>
      </c>
    </row>
    <row r="360" spans="1:6" x14ac:dyDescent="0.35">
      <c r="A360" s="1" t="s">
        <v>19</v>
      </c>
      <c r="B360" s="1" t="s">
        <v>48</v>
      </c>
      <c r="C360" s="1" t="s">
        <v>30</v>
      </c>
      <c r="D360" s="1">
        <v>82</v>
      </c>
      <c r="E360" s="13">
        <v>0</v>
      </c>
      <c r="F360" s="3">
        <v>80.2</v>
      </c>
    </row>
    <row r="361" spans="1:6" x14ac:dyDescent="0.35">
      <c r="A361" s="1" t="s">
        <v>20</v>
      </c>
      <c r="B361" s="1" t="s">
        <v>48</v>
      </c>
      <c r="C361" s="1" t="s">
        <v>30</v>
      </c>
      <c r="D361" s="1">
        <v>79</v>
      </c>
      <c r="E361" s="13">
        <v>0</v>
      </c>
      <c r="F361" s="3">
        <v>80.400000000000006</v>
      </c>
    </row>
    <row r="362" spans="1:6" x14ac:dyDescent="0.35">
      <c r="A362" s="1" t="s">
        <v>21</v>
      </c>
      <c r="B362" s="1" t="s">
        <v>48</v>
      </c>
      <c r="C362" s="1" t="s">
        <v>30</v>
      </c>
      <c r="D362" s="1">
        <v>79</v>
      </c>
      <c r="E362" s="13">
        <v>0</v>
      </c>
      <c r="F362" s="3">
        <v>80.400000000000006</v>
      </c>
    </row>
    <row r="363" spans="1:6" x14ac:dyDescent="0.35">
      <c r="A363" s="1" t="s">
        <v>22</v>
      </c>
      <c r="B363" s="1" t="s">
        <v>48</v>
      </c>
      <c r="C363" s="1" t="s">
        <v>30</v>
      </c>
      <c r="D363" s="1">
        <v>82</v>
      </c>
      <c r="E363" s="13">
        <v>0</v>
      </c>
      <c r="F363" s="3">
        <v>80.8</v>
      </c>
    </row>
    <row r="364" spans="1:6" x14ac:dyDescent="0.35">
      <c r="A364" s="1" t="s">
        <v>23</v>
      </c>
      <c r="B364" s="1" t="s">
        <v>48</v>
      </c>
      <c r="C364" s="1" t="s">
        <v>30</v>
      </c>
      <c r="D364" s="1">
        <v>86</v>
      </c>
      <c r="E364" s="13">
        <v>0</v>
      </c>
      <c r="F364" s="3">
        <v>81.599999999999994</v>
      </c>
    </row>
    <row r="365" spans="1:6" x14ac:dyDescent="0.35">
      <c r="A365" s="1" t="s">
        <v>24</v>
      </c>
      <c r="B365" s="1" t="s">
        <v>48</v>
      </c>
      <c r="C365" s="1" t="s">
        <v>30</v>
      </c>
      <c r="D365" s="1">
        <v>90</v>
      </c>
      <c r="E365" s="13">
        <v>0</v>
      </c>
      <c r="F365" s="3">
        <v>83.2</v>
      </c>
    </row>
    <row r="366" spans="1:6" x14ac:dyDescent="0.35">
      <c r="A366" s="1" t="s">
        <v>25</v>
      </c>
      <c r="B366" s="1" t="s">
        <v>48</v>
      </c>
      <c r="C366" s="1" t="s">
        <v>30</v>
      </c>
      <c r="D366" s="1">
        <v>71</v>
      </c>
      <c r="E366" s="13">
        <v>0</v>
      </c>
      <c r="F366" s="3">
        <v>81.599999999999994</v>
      </c>
    </row>
    <row r="367" spans="1:6" x14ac:dyDescent="0.35">
      <c r="A367" s="1" t="s">
        <v>26</v>
      </c>
      <c r="B367" s="1" t="s">
        <v>48</v>
      </c>
      <c r="C367" s="1" t="s">
        <v>30</v>
      </c>
      <c r="D367" s="1">
        <v>76</v>
      </c>
      <c r="E367" s="13">
        <v>0</v>
      </c>
      <c r="F367" s="3">
        <v>81</v>
      </c>
    </row>
    <row r="368" spans="1:6" x14ac:dyDescent="0.35">
      <c r="A368" s="1" t="s">
        <v>27</v>
      </c>
      <c r="B368" s="1" t="s">
        <v>48</v>
      </c>
      <c r="C368" s="1" t="s">
        <v>30</v>
      </c>
      <c r="D368" s="1">
        <v>72</v>
      </c>
      <c r="E368" s="13">
        <v>0</v>
      </c>
      <c r="F368" s="3">
        <v>79</v>
      </c>
    </row>
    <row r="369" spans="1:6" x14ac:dyDescent="0.35">
      <c r="A369" s="1" t="s">
        <v>28</v>
      </c>
      <c r="B369" s="1" t="s">
        <v>48</v>
      </c>
      <c r="C369" s="1" t="s">
        <v>30</v>
      </c>
      <c r="D369" s="1">
        <v>63</v>
      </c>
      <c r="E369" s="13">
        <v>0</v>
      </c>
      <c r="F369" s="3">
        <v>74.400000000000006</v>
      </c>
    </row>
    <row r="370" spans="1:6" x14ac:dyDescent="0.35">
      <c r="A370" s="1" t="s">
        <v>4</v>
      </c>
      <c r="B370" s="1" t="s">
        <v>49</v>
      </c>
      <c r="C370" s="1" t="s">
        <v>30</v>
      </c>
      <c r="D370" s="1">
        <v>66</v>
      </c>
      <c r="E370" s="13">
        <v>0.46969696969696972</v>
      </c>
      <c r="F370" s="3">
        <v>69.599999999999994</v>
      </c>
    </row>
    <row r="371" spans="1:6" x14ac:dyDescent="0.35">
      <c r="A371" s="1" t="s">
        <v>7</v>
      </c>
      <c r="B371" s="1" t="s">
        <v>49</v>
      </c>
      <c r="C371" s="1" t="s">
        <v>30</v>
      </c>
      <c r="D371" s="1">
        <v>68</v>
      </c>
      <c r="E371" s="13">
        <v>0</v>
      </c>
      <c r="F371" s="3">
        <v>69</v>
      </c>
    </row>
    <row r="372" spans="1:6" x14ac:dyDescent="0.35">
      <c r="A372" s="1" t="s">
        <v>8</v>
      </c>
      <c r="B372" s="1" t="s">
        <v>49</v>
      </c>
      <c r="C372" s="1" t="s">
        <v>30</v>
      </c>
      <c r="D372" s="1">
        <v>69</v>
      </c>
      <c r="E372" s="13">
        <v>0</v>
      </c>
      <c r="F372" s="3">
        <v>67.599999999999994</v>
      </c>
    </row>
    <row r="373" spans="1:6" x14ac:dyDescent="0.35">
      <c r="A373" s="1" t="s">
        <v>9</v>
      </c>
      <c r="B373" s="1" t="s">
        <v>49</v>
      </c>
      <c r="C373" s="1" t="s">
        <v>30</v>
      </c>
      <c r="D373" s="1">
        <v>71</v>
      </c>
      <c r="E373" s="13">
        <v>0</v>
      </c>
      <c r="F373" s="3">
        <v>67.400000000000006</v>
      </c>
    </row>
    <row r="374" spans="1:6" x14ac:dyDescent="0.35">
      <c r="A374" s="1" t="s">
        <v>10</v>
      </c>
      <c r="B374" s="1" t="s">
        <v>49</v>
      </c>
      <c r="C374" s="1" t="s">
        <v>30</v>
      </c>
      <c r="D374" s="1">
        <v>73</v>
      </c>
      <c r="E374" s="13">
        <v>0</v>
      </c>
      <c r="F374" s="3">
        <v>69.400000000000006</v>
      </c>
    </row>
    <row r="375" spans="1:6" x14ac:dyDescent="0.35">
      <c r="A375" s="1" t="s">
        <v>11</v>
      </c>
      <c r="B375" s="1" t="s">
        <v>49</v>
      </c>
      <c r="C375" s="1" t="s">
        <v>30</v>
      </c>
      <c r="D375" s="1">
        <v>74</v>
      </c>
      <c r="E375" s="13">
        <v>0</v>
      </c>
      <c r="F375" s="3">
        <v>71</v>
      </c>
    </row>
    <row r="376" spans="1:6" x14ac:dyDescent="0.35">
      <c r="A376" s="1" t="s">
        <v>12</v>
      </c>
      <c r="B376" s="1" t="s">
        <v>49</v>
      </c>
      <c r="C376" s="1" t="s">
        <v>30</v>
      </c>
      <c r="D376" s="1">
        <v>77</v>
      </c>
      <c r="E376" s="13">
        <v>0</v>
      </c>
      <c r="F376" s="3">
        <v>72.8</v>
      </c>
    </row>
    <row r="377" spans="1:6" x14ac:dyDescent="0.35">
      <c r="A377" s="1" t="s">
        <v>13</v>
      </c>
      <c r="B377" s="1" t="s">
        <v>49</v>
      </c>
      <c r="C377" s="1" t="s">
        <v>30</v>
      </c>
      <c r="D377" s="1">
        <v>77</v>
      </c>
      <c r="E377" s="13">
        <v>0</v>
      </c>
      <c r="F377" s="3">
        <v>74.400000000000006</v>
      </c>
    </row>
    <row r="378" spans="1:6" x14ac:dyDescent="0.35">
      <c r="A378" s="1" t="s">
        <v>14</v>
      </c>
      <c r="B378" s="1" t="s">
        <v>49</v>
      </c>
      <c r="C378" s="1" t="s">
        <v>30</v>
      </c>
      <c r="D378" s="1">
        <v>78</v>
      </c>
      <c r="E378" s="13">
        <v>0</v>
      </c>
      <c r="F378" s="3">
        <v>75.8</v>
      </c>
    </row>
    <row r="379" spans="1:6" x14ac:dyDescent="0.35">
      <c r="A379" s="1" t="s">
        <v>15</v>
      </c>
      <c r="B379" s="1" t="s">
        <v>49</v>
      </c>
      <c r="C379" s="1" t="s">
        <v>30</v>
      </c>
      <c r="D379" s="1">
        <v>79</v>
      </c>
      <c r="E379" s="13">
        <v>0</v>
      </c>
      <c r="F379" s="3">
        <v>77</v>
      </c>
    </row>
    <row r="380" spans="1:6" x14ac:dyDescent="0.35">
      <c r="A380" s="1" t="s">
        <v>16</v>
      </c>
      <c r="B380" s="1" t="s">
        <v>49</v>
      </c>
      <c r="C380" s="1" t="s">
        <v>30</v>
      </c>
      <c r="D380" s="1">
        <v>80</v>
      </c>
      <c r="E380" s="13">
        <v>0</v>
      </c>
      <c r="F380" s="3">
        <v>78.2</v>
      </c>
    </row>
    <row r="381" spans="1:6" x14ac:dyDescent="0.35">
      <c r="A381" s="1" t="s">
        <v>17</v>
      </c>
      <c r="B381" s="1" t="s">
        <v>49</v>
      </c>
      <c r="C381" s="1" t="s">
        <v>30</v>
      </c>
      <c r="D381" s="1">
        <v>81</v>
      </c>
      <c r="E381" s="13">
        <v>0</v>
      </c>
      <c r="F381" s="3">
        <v>79</v>
      </c>
    </row>
    <row r="382" spans="1:6" x14ac:dyDescent="0.35">
      <c r="A382" s="1" t="s">
        <v>18</v>
      </c>
      <c r="B382" s="1" t="s">
        <v>49</v>
      </c>
      <c r="C382" s="1" t="s">
        <v>30</v>
      </c>
      <c r="D382" s="1">
        <v>82</v>
      </c>
      <c r="E382" s="13">
        <v>0</v>
      </c>
      <c r="F382" s="3">
        <v>80</v>
      </c>
    </row>
    <row r="383" spans="1:6" x14ac:dyDescent="0.35">
      <c r="A383" s="1" t="s">
        <v>19</v>
      </c>
      <c r="B383" s="1" t="s">
        <v>49</v>
      </c>
      <c r="C383" s="1" t="s">
        <v>30</v>
      </c>
      <c r="D383" s="1">
        <v>83</v>
      </c>
      <c r="E383" s="13">
        <v>0</v>
      </c>
      <c r="F383" s="3">
        <v>81</v>
      </c>
    </row>
    <row r="384" spans="1:6" x14ac:dyDescent="0.35">
      <c r="A384" s="1" t="s">
        <v>20</v>
      </c>
      <c r="B384" s="1" t="s">
        <v>49</v>
      </c>
      <c r="C384" s="1" t="s">
        <v>30</v>
      </c>
      <c r="D384" s="1">
        <v>84</v>
      </c>
      <c r="E384" s="13">
        <v>0</v>
      </c>
      <c r="F384" s="3">
        <v>82</v>
      </c>
    </row>
    <row r="385" spans="1:6" x14ac:dyDescent="0.35">
      <c r="A385" s="1" t="s">
        <v>21</v>
      </c>
      <c r="B385" s="1" t="s">
        <v>49</v>
      </c>
      <c r="C385" s="1" t="s">
        <v>30</v>
      </c>
      <c r="D385" s="1">
        <v>84</v>
      </c>
      <c r="E385" s="13">
        <v>0</v>
      </c>
      <c r="F385" s="3">
        <v>82.8</v>
      </c>
    </row>
    <row r="386" spans="1:6" x14ac:dyDescent="0.35">
      <c r="A386" s="1" t="s">
        <v>22</v>
      </c>
      <c r="B386" s="1" t="s">
        <v>49</v>
      </c>
      <c r="C386" s="1" t="s">
        <v>30</v>
      </c>
      <c r="D386" s="1">
        <v>85</v>
      </c>
      <c r="E386" s="13">
        <v>0</v>
      </c>
      <c r="F386" s="3">
        <v>83.6</v>
      </c>
    </row>
    <row r="387" spans="1:6" x14ac:dyDescent="0.35">
      <c r="A387" s="1" t="s">
        <v>23</v>
      </c>
      <c r="B387" s="1" t="s">
        <v>49</v>
      </c>
      <c r="C387" s="1" t="s">
        <v>30</v>
      </c>
      <c r="D387" s="1">
        <v>87</v>
      </c>
      <c r="E387" s="13">
        <v>0</v>
      </c>
      <c r="F387" s="3">
        <v>84.6</v>
      </c>
    </row>
    <row r="388" spans="1:6" x14ac:dyDescent="0.35">
      <c r="A388" s="1" t="s">
        <v>24</v>
      </c>
      <c r="B388" s="1" t="s">
        <v>49</v>
      </c>
      <c r="C388" s="1" t="s">
        <v>30</v>
      </c>
      <c r="D388" s="1">
        <v>88</v>
      </c>
      <c r="E388" s="13">
        <v>0</v>
      </c>
      <c r="F388" s="3">
        <v>85.6</v>
      </c>
    </row>
    <row r="389" spans="1:6" x14ac:dyDescent="0.35">
      <c r="A389" s="1" t="s">
        <v>25</v>
      </c>
      <c r="B389" s="1" t="s">
        <v>49</v>
      </c>
      <c r="C389" s="1" t="s">
        <v>30</v>
      </c>
      <c r="D389" s="1">
        <v>89</v>
      </c>
      <c r="E389" s="13">
        <v>0</v>
      </c>
      <c r="F389" s="3">
        <v>86.6</v>
      </c>
    </row>
    <row r="390" spans="1:6" x14ac:dyDescent="0.35">
      <c r="A390" s="1" t="s">
        <v>26</v>
      </c>
      <c r="B390" s="1" t="s">
        <v>49</v>
      </c>
      <c r="C390" s="1" t="s">
        <v>30</v>
      </c>
      <c r="D390" s="1">
        <v>90</v>
      </c>
      <c r="E390" s="13">
        <v>0</v>
      </c>
      <c r="F390" s="3">
        <v>87.8</v>
      </c>
    </row>
    <row r="391" spans="1:6" x14ac:dyDescent="0.35">
      <c r="A391" s="1" t="s">
        <v>27</v>
      </c>
      <c r="B391" s="1" t="s">
        <v>49</v>
      </c>
      <c r="C391" s="1" t="s">
        <v>30</v>
      </c>
      <c r="D391" s="1">
        <v>94</v>
      </c>
      <c r="E391" s="13">
        <v>0</v>
      </c>
      <c r="F391" s="3">
        <v>89.6</v>
      </c>
    </row>
    <row r="392" spans="1:6" x14ac:dyDescent="0.35">
      <c r="A392" s="1" t="s">
        <v>28</v>
      </c>
      <c r="B392" s="1" t="s">
        <v>49</v>
      </c>
      <c r="C392" s="1" t="s">
        <v>30</v>
      </c>
      <c r="D392" s="1">
        <v>97</v>
      </c>
      <c r="E392" s="13">
        <v>0</v>
      </c>
      <c r="F392" s="3">
        <v>91.6</v>
      </c>
    </row>
    <row r="393" spans="1:6" x14ac:dyDescent="0.35">
      <c r="A393" s="1" t="s">
        <v>4</v>
      </c>
      <c r="B393" s="1" t="s">
        <v>50</v>
      </c>
      <c r="C393" s="1" t="s">
        <v>30</v>
      </c>
      <c r="D393" s="1">
        <v>14</v>
      </c>
      <c r="E393" s="13">
        <v>3.1428571428571428</v>
      </c>
      <c r="F393" s="3">
        <v>76.8</v>
      </c>
    </row>
    <row r="394" spans="1:6" x14ac:dyDescent="0.35">
      <c r="A394" s="1" t="s">
        <v>7</v>
      </c>
      <c r="B394" s="1" t="s">
        <v>50</v>
      </c>
      <c r="C394" s="1" t="s">
        <v>30</v>
      </c>
      <c r="D394" s="1">
        <v>15</v>
      </c>
      <c r="E394" s="13">
        <v>0</v>
      </c>
      <c r="F394" s="3">
        <v>62</v>
      </c>
    </row>
    <row r="395" spans="1:6" x14ac:dyDescent="0.35">
      <c r="A395" s="1" t="s">
        <v>8</v>
      </c>
      <c r="B395" s="1" t="s">
        <v>50</v>
      </c>
      <c r="C395" s="1" t="s">
        <v>30</v>
      </c>
      <c r="D395" s="1">
        <v>15</v>
      </c>
      <c r="E395" s="13">
        <v>0</v>
      </c>
      <c r="F395" s="3">
        <v>47</v>
      </c>
    </row>
    <row r="396" spans="1:6" x14ac:dyDescent="0.35">
      <c r="A396" s="1" t="s">
        <v>9</v>
      </c>
      <c r="B396" s="1" t="s">
        <v>50</v>
      </c>
      <c r="C396" s="1" t="s">
        <v>30</v>
      </c>
      <c r="D396" s="1">
        <v>16</v>
      </c>
      <c r="E396" s="13">
        <v>0</v>
      </c>
      <c r="F396" s="3">
        <v>31.4</v>
      </c>
    </row>
    <row r="397" spans="1:6" x14ac:dyDescent="0.35">
      <c r="A397" s="1" t="s">
        <v>10</v>
      </c>
      <c r="B397" s="1" t="s">
        <v>50</v>
      </c>
      <c r="C397" s="1" t="s">
        <v>30</v>
      </c>
      <c r="D397" s="1">
        <v>15</v>
      </c>
      <c r="E397" s="13">
        <v>0</v>
      </c>
      <c r="F397" s="3">
        <v>15</v>
      </c>
    </row>
    <row r="398" spans="1:6" x14ac:dyDescent="0.35">
      <c r="A398" s="1" t="s">
        <v>11</v>
      </c>
      <c r="B398" s="1" t="s">
        <v>50</v>
      </c>
      <c r="C398" s="1" t="s">
        <v>30</v>
      </c>
      <c r="D398" s="1">
        <v>16</v>
      </c>
      <c r="E398" s="13">
        <v>0</v>
      </c>
      <c r="F398" s="3">
        <v>15.4</v>
      </c>
    </row>
    <row r="399" spans="1:6" x14ac:dyDescent="0.35">
      <c r="A399" s="1" t="s">
        <v>12</v>
      </c>
      <c r="B399" s="1" t="s">
        <v>50</v>
      </c>
      <c r="C399" s="1" t="s">
        <v>30</v>
      </c>
      <c r="D399" s="1">
        <v>17</v>
      </c>
      <c r="E399" s="13">
        <v>0</v>
      </c>
      <c r="F399" s="3">
        <v>15.8</v>
      </c>
    </row>
    <row r="400" spans="1:6" x14ac:dyDescent="0.35">
      <c r="A400" s="1" t="s">
        <v>13</v>
      </c>
      <c r="B400" s="1" t="s">
        <v>50</v>
      </c>
      <c r="C400" s="1" t="s">
        <v>30</v>
      </c>
      <c r="D400" s="1">
        <v>17</v>
      </c>
      <c r="E400" s="13">
        <v>0</v>
      </c>
      <c r="F400" s="3">
        <v>16.2</v>
      </c>
    </row>
    <row r="401" spans="1:6" x14ac:dyDescent="0.35">
      <c r="A401" s="1" t="s">
        <v>14</v>
      </c>
      <c r="B401" s="1" t="s">
        <v>50</v>
      </c>
      <c r="C401" s="1" t="s">
        <v>30</v>
      </c>
      <c r="D401" s="1">
        <v>11</v>
      </c>
      <c r="E401" s="13">
        <v>0</v>
      </c>
      <c r="F401" s="3">
        <v>15.2</v>
      </c>
    </row>
    <row r="402" spans="1:6" x14ac:dyDescent="0.35">
      <c r="A402" s="1" t="s">
        <v>15</v>
      </c>
      <c r="B402" s="1" t="s">
        <v>50</v>
      </c>
      <c r="C402" s="1" t="s">
        <v>30</v>
      </c>
      <c r="D402" s="1">
        <v>11</v>
      </c>
      <c r="E402" s="13">
        <v>0</v>
      </c>
      <c r="F402" s="3">
        <v>14.4</v>
      </c>
    </row>
    <row r="403" spans="1:6" x14ac:dyDescent="0.35">
      <c r="A403" s="1" t="s">
        <v>16</v>
      </c>
      <c r="B403" s="1" t="s">
        <v>50</v>
      </c>
      <c r="C403" s="1" t="s">
        <v>30</v>
      </c>
      <c r="D403" s="1">
        <v>14</v>
      </c>
      <c r="E403" s="13">
        <v>0</v>
      </c>
      <c r="F403" s="3">
        <v>14</v>
      </c>
    </row>
    <row r="404" spans="1:6" x14ac:dyDescent="0.35">
      <c r="A404" s="1" t="s">
        <v>17</v>
      </c>
      <c r="B404" s="1" t="s">
        <v>50</v>
      </c>
      <c r="C404" s="1" t="s">
        <v>30</v>
      </c>
      <c r="D404" s="1">
        <v>14</v>
      </c>
      <c r="E404" s="13">
        <v>0</v>
      </c>
      <c r="F404" s="3">
        <v>13.4</v>
      </c>
    </row>
    <row r="405" spans="1:6" x14ac:dyDescent="0.35">
      <c r="A405" s="1" t="s">
        <v>18</v>
      </c>
      <c r="B405" s="1" t="s">
        <v>50</v>
      </c>
      <c r="C405" s="1" t="s">
        <v>30</v>
      </c>
      <c r="D405" s="1">
        <v>15</v>
      </c>
      <c r="E405" s="13">
        <v>0</v>
      </c>
      <c r="F405" s="3">
        <v>13</v>
      </c>
    </row>
    <row r="406" spans="1:6" x14ac:dyDescent="0.35">
      <c r="A406" s="1" t="s">
        <v>19</v>
      </c>
      <c r="B406" s="1" t="s">
        <v>50</v>
      </c>
      <c r="C406" s="1" t="s">
        <v>30</v>
      </c>
      <c r="D406" s="1">
        <v>20</v>
      </c>
      <c r="E406" s="13">
        <v>0</v>
      </c>
      <c r="F406" s="3">
        <v>14.8</v>
      </c>
    </row>
    <row r="407" spans="1:6" x14ac:dyDescent="0.35">
      <c r="A407" s="1" t="s">
        <v>20</v>
      </c>
      <c r="B407" s="1" t="s">
        <v>50</v>
      </c>
      <c r="C407" s="1" t="s">
        <v>30</v>
      </c>
      <c r="D407" s="1">
        <v>22</v>
      </c>
      <c r="E407" s="13">
        <v>0</v>
      </c>
      <c r="F407" s="3">
        <v>17</v>
      </c>
    </row>
    <row r="408" spans="1:6" x14ac:dyDescent="0.35">
      <c r="A408" s="1" t="s">
        <v>21</v>
      </c>
      <c r="B408" s="1" t="s">
        <v>50</v>
      </c>
      <c r="C408" s="1" t="s">
        <v>30</v>
      </c>
      <c r="D408" s="1">
        <v>24</v>
      </c>
      <c r="E408" s="13">
        <v>0</v>
      </c>
      <c r="F408" s="3">
        <v>19</v>
      </c>
    </row>
    <row r="409" spans="1:6" x14ac:dyDescent="0.35">
      <c r="A409" s="1" t="s">
        <v>22</v>
      </c>
      <c r="B409" s="1" t="s">
        <v>50</v>
      </c>
      <c r="C409" s="1" t="s">
        <v>30</v>
      </c>
      <c r="D409" s="1">
        <v>25</v>
      </c>
      <c r="E409" s="13">
        <v>0</v>
      </c>
      <c r="F409" s="3">
        <v>21.2</v>
      </c>
    </row>
    <row r="410" spans="1:6" x14ac:dyDescent="0.35">
      <c r="A410" s="1" t="s">
        <v>23</v>
      </c>
      <c r="B410" s="1" t="s">
        <v>50</v>
      </c>
      <c r="C410" s="1" t="s">
        <v>30</v>
      </c>
      <c r="D410" s="1">
        <v>26</v>
      </c>
      <c r="E410" s="13">
        <v>0</v>
      </c>
      <c r="F410" s="3">
        <v>23.4</v>
      </c>
    </row>
    <row r="411" spans="1:6" x14ac:dyDescent="0.35">
      <c r="A411" s="1" t="s">
        <v>24</v>
      </c>
      <c r="B411" s="1" t="s">
        <v>50</v>
      </c>
      <c r="C411" s="1" t="s">
        <v>30</v>
      </c>
      <c r="D411" s="1">
        <v>24</v>
      </c>
      <c r="E411" s="13">
        <v>0</v>
      </c>
      <c r="F411" s="3">
        <v>24.2</v>
      </c>
    </row>
    <row r="412" spans="1:6" x14ac:dyDescent="0.35">
      <c r="A412" s="1" t="s">
        <v>25</v>
      </c>
      <c r="B412" s="1" t="s">
        <v>50</v>
      </c>
      <c r="C412" s="1" t="s">
        <v>30</v>
      </c>
      <c r="D412" s="1">
        <v>25</v>
      </c>
      <c r="E412" s="13">
        <v>0</v>
      </c>
      <c r="F412" s="3">
        <v>24.8</v>
      </c>
    </row>
    <row r="413" spans="1:6" x14ac:dyDescent="0.35">
      <c r="A413" s="1" t="s">
        <v>26</v>
      </c>
      <c r="B413" s="1" t="s">
        <v>50</v>
      </c>
      <c r="C413" s="2" t="s">
        <v>30</v>
      </c>
      <c r="D413" s="1">
        <v>24.8</v>
      </c>
      <c r="E413" s="13">
        <v>0</v>
      </c>
      <c r="F413" s="3">
        <v>24.96</v>
      </c>
    </row>
    <row r="414" spans="1:6" x14ac:dyDescent="0.35">
      <c r="A414" s="1" t="s">
        <v>4</v>
      </c>
      <c r="B414" s="1" t="s">
        <v>51</v>
      </c>
      <c r="C414" s="1" t="s">
        <v>30</v>
      </c>
      <c r="D414" s="1">
        <v>57</v>
      </c>
      <c r="E414" s="13">
        <v>-7.0175438596491224E-2</v>
      </c>
      <c r="F414" s="3">
        <v>31.360000000000003</v>
      </c>
    </row>
    <row r="415" spans="1:6" x14ac:dyDescent="0.35">
      <c r="A415" s="1" t="s">
        <v>7</v>
      </c>
      <c r="B415" s="1" t="s">
        <v>51</v>
      </c>
      <c r="C415" s="1" t="s">
        <v>30</v>
      </c>
      <c r="D415" s="1">
        <v>58</v>
      </c>
      <c r="E415" s="13">
        <v>0</v>
      </c>
      <c r="F415" s="3">
        <v>37.760000000000005</v>
      </c>
    </row>
    <row r="416" spans="1:6" x14ac:dyDescent="0.35">
      <c r="A416" s="1" t="s">
        <v>8</v>
      </c>
      <c r="B416" s="1" t="s">
        <v>51</v>
      </c>
      <c r="C416" s="1" t="s">
        <v>30</v>
      </c>
      <c r="D416" s="1">
        <v>63</v>
      </c>
      <c r="E416" s="13">
        <v>0</v>
      </c>
      <c r="F416" s="3">
        <v>45.56</v>
      </c>
    </row>
    <row r="417" spans="1:6" x14ac:dyDescent="0.35">
      <c r="A417" s="1" t="s">
        <v>9</v>
      </c>
      <c r="B417" s="1" t="s">
        <v>51</v>
      </c>
      <c r="C417" s="1" t="s">
        <v>30</v>
      </c>
      <c r="D417" s="1">
        <v>69</v>
      </c>
      <c r="E417" s="13">
        <v>0</v>
      </c>
      <c r="F417" s="3">
        <v>54.36</v>
      </c>
    </row>
    <row r="418" spans="1:6" x14ac:dyDescent="0.35">
      <c r="A418" s="1" t="s">
        <v>10</v>
      </c>
      <c r="B418" s="1" t="s">
        <v>51</v>
      </c>
      <c r="C418" s="1" t="s">
        <v>30</v>
      </c>
      <c r="D418" s="1">
        <v>74</v>
      </c>
      <c r="E418" s="13">
        <v>0</v>
      </c>
      <c r="F418" s="3">
        <v>64.2</v>
      </c>
    </row>
    <row r="419" spans="1:6" x14ac:dyDescent="0.35">
      <c r="A419" s="1" t="s">
        <v>11</v>
      </c>
      <c r="B419" s="1" t="s">
        <v>51</v>
      </c>
      <c r="C419" s="1" t="s">
        <v>30</v>
      </c>
      <c r="D419" s="1">
        <v>67</v>
      </c>
      <c r="E419" s="13">
        <v>0</v>
      </c>
      <c r="F419" s="3">
        <v>66.2</v>
      </c>
    </row>
    <row r="420" spans="1:6" x14ac:dyDescent="0.35">
      <c r="A420" s="1" t="s">
        <v>12</v>
      </c>
      <c r="B420" s="1" t="s">
        <v>51</v>
      </c>
      <c r="C420" s="1" t="s">
        <v>30</v>
      </c>
      <c r="D420" s="1">
        <v>45</v>
      </c>
      <c r="E420" s="13">
        <v>0</v>
      </c>
      <c r="F420" s="3">
        <v>63.6</v>
      </c>
    </row>
    <row r="421" spans="1:6" x14ac:dyDescent="0.35">
      <c r="A421" s="1" t="s">
        <v>13</v>
      </c>
      <c r="B421" s="1" t="s">
        <v>51</v>
      </c>
      <c r="C421" s="1" t="s">
        <v>30</v>
      </c>
      <c r="D421" s="1">
        <v>53</v>
      </c>
      <c r="E421" s="13">
        <v>0</v>
      </c>
      <c r="F421" s="3">
        <v>61.6</v>
      </c>
    </row>
    <row r="422" spans="1:6" x14ac:dyDescent="0.35">
      <c r="A422" s="1" t="s">
        <v>14</v>
      </c>
      <c r="B422" s="1" t="s">
        <v>51</v>
      </c>
      <c r="C422" s="1" t="s">
        <v>30</v>
      </c>
      <c r="D422" s="1">
        <v>78</v>
      </c>
      <c r="E422" s="13">
        <v>0</v>
      </c>
      <c r="F422" s="3">
        <v>63.4</v>
      </c>
    </row>
    <row r="423" spans="1:6" x14ac:dyDescent="0.35">
      <c r="A423" s="1" t="s">
        <v>15</v>
      </c>
      <c r="B423" s="1" t="s">
        <v>51</v>
      </c>
      <c r="C423" s="1" t="s">
        <v>30</v>
      </c>
      <c r="D423" s="1">
        <v>76</v>
      </c>
      <c r="E423" s="13">
        <v>0</v>
      </c>
      <c r="F423" s="3">
        <v>63.8</v>
      </c>
    </row>
    <row r="424" spans="1:6" x14ac:dyDescent="0.35">
      <c r="A424" s="1" t="s">
        <v>16</v>
      </c>
      <c r="B424" s="1" t="s">
        <v>51</v>
      </c>
      <c r="C424" s="1" t="s">
        <v>30</v>
      </c>
      <c r="D424" s="1">
        <v>78</v>
      </c>
      <c r="E424" s="13">
        <v>0</v>
      </c>
      <c r="F424" s="3">
        <v>66</v>
      </c>
    </row>
    <row r="425" spans="1:6" x14ac:dyDescent="0.35">
      <c r="A425" s="1" t="s">
        <v>17</v>
      </c>
      <c r="B425" s="1" t="s">
        <v>51</v>
      </c>
      <c r="C425" s="1" t="s">
        <v>30</v>
      </c>
      <c r="D425" s="1">
        <v>79</v>
      </c>
      <c r="E425" s="13">
        <v>0</v>
      </c>
      <c r="F425" s="3">
        <v>72.8</v>
      </c>
    </row>
    <row r="426" spans="1:6" x14ac:dyDescent="0.35">
      <c r="A426" s="1" t="s">
        <v>18</v>
      </c>
      <c r="B426" s="1" t="s">
        <v>51</v>
      </c>
      <c r="C426" s="1" t="s">
        <v>30</v>
      </c>
      <c r="D426" s="1">
        <v>81</v>
      </c>
      <c r="E426" s="13">
        <v>0</v>
      </c>
      <c r="F426" s="3">
        <v>78.400000000000006</v>
      </c>
    </row>
    <row r="427" spans="1:6" x14ac:dyDescent="0.35">
      <c r="A427" s="1" t="s">
        <v>19</v>
      </c>
      <c r="B427" s="1" t="s">
        <v>51</v>
      </c>
      <c r="C427" s="1" t="s">
        <v>30</v>
      </c>
      <c r="D427" s="1">
        <v>76</v>
      </c>
      <c r="E427" s="13">
        <v>0</v>
      </c>
      <c r="F427" s="3">
        <v>78</v>
      </c>
    </row>
    <row r="428" spans="1:6" x14ac:dyDescent="0.35">
      <c r="A428" s="1" t="s">
        <v>20</v>
      </c>
      <c r="B428" s="1" t="s">
        <v>51</v>
      </c>
      <c r="C428" s="1" t="s">
        <v>30</v>
      </c>
      <c r="D428" s="1">
        <v>77</v>
      </c>
      <c r="E428" s="13">
        <v>0</v>
      </c>
      <c r="F428" s="3">
        <v>78.2</v>
      </c>
    </row>
    <row r="429" spans="1:6" x14ac:dyDescent="0.35">
      <c r="A429" s="1" t="s">
        <v>21</v>
      </c>
      <c r="B429" s="1" t="s">
        <v>51</v>
      </c>
      <c r="C429" s="1" t="s">
        <v>30</v>
      </c>
      <c r="D429" s="1">
        <v>79</v>
      </c>
      <c r="E429" s="13">
        <v>0</v>
      </c>
      <c r="F429" s="3">
        <v>78.400000000000006</v>
      </c>
    </row>
    <row r="430" spans="1:6" x14ac:dyDescent="0.35">
      <c r="A430" s="1" t="s">
        <v>22</v>
      </c>
      <c r="B430" s="1" t="s">
        <v>51</v>
      </c>
      <c r="C430" s="1" t="s">
        <v>30</v>
      </c>
      <c r="D430" s="1">
        <v>74</v>
      </c>
      <c r="E430" s="13">
        <v>0</v>
      </c>
      <c r="F430" s="3">
        <v>77.400000000000006</v>
      </c>
    </row>
    <row r="431" spans="1:6" x14ac:dyDescent="0.35">
      <c r="A431" s="1" t="s">
        <v>23</v>
      </c>
      <c r="B431" s="1" t="s">
        <v>51</v>
      </c>
      <c r="C431" s="1" t="s">
        <v>30</v>
      </c>
      <c r="D431" s="1">
        <v>73</v>
      </c>
      <c r="E431" s="13">
        <v>0</v>
      </c>
      <c r="F431" s="3">
        <v>75.8</v>
      </c>
    </row>
    <row r="432" spans="1:6" x14ac:dyDescent="0.35">
      <c r="A432" s="1" t="s">
        <v>24</v>
      </c>
      <c r="B432" s="1" t="s">
        <v>51</v>
      </c>
      <c r="C432" s="1" t="s">
        <v>30</v>
      </c>
      <c r="D432" s="1">
        <v>62</v>
      </c>
      <c r="E432" s="13">
        <v>0</v>
      </c>
      <c r="F432" s="3">
        <v>73</v>
      </c>
    </row>
    <row r="433" spans="1:6" x14ac:dyDescent="0.35">
      <c r="A433" s="1" t="s">
        <v>25</v>
      </c>
      <c r="B433" s="1" t="s">
        <v>51</v>
      </c>
      <c r="C433" s="1" t="s">
        <v>30</v>
      </c>
      <c r="D433" s="1">
        <v>56</v>
      </c>
      <c r="E433" s="13">
        <v>0</v>
      </c>
      <c r="F433" s="3">
        <v>68.8</v>
      </c>
    </row>
    <row r="434" spans="1:6" x14ac:dyDescent="0.35">
      <c r="A434" s="1" t="s">
        <v>26</v>
      </c>
      <c r="B434" s="1" t="s">
        <v>51</v>
      </c>
      <c r="C434" s="1" t="s">
        <v>30</v>
      </c>
      <c r="D434" s="1">
        <v>61</v>
      </c>
      <c r="E434" s="13">
        <v>0</v>
      </c>
      <c r="F434" s="3">
        <v>65.2</v>
      </c>
    </row>
    <row r="435" spans="1:6" x14ac:dyDescent="0.35">
      <c r="A435" s="1" t="s">
        <v>27</v>
      </c>
      <c r="B435" s="1" t="s">
        <v>51</v>
      </c>
      <c r="C435" s="1" t="s">
        <v>30</v>
      </c>
      <c r="D435" s="1">
        <v>50</v>
      </c>
      <c r="E435" s="13">
        <v>0</v>
      </c>
      <c r="F435" s="3">
        <v>60.4</v>
      </c>
    </row>
    <row r="436" spans="1:6" x14ac:dyDescent="0.35">
      <c r="A436" s="1" t="s">
        <v>28</v>
      </c>
      <c r="B436" s="1" t="s">
        <v>51</v>
      </c>
      <c r="C436" s="1" t="s">
        <v>30</v>
      </c>
      <c r="D436" s="1">
        <v>53</v>
      </c>
      <c r="E436" s="13">
        <v>0</v>
      </c>
      <c r="F436" s="3">
        <v>56.4</v>
      </c>
    </row>
    <row r="437" spans="1:6" x14ac:dyDescent="0.35">
      <c r="A437" s="1" t="s">
        <v>4</v>
      </c>
      <c r="B437" s="1" t="s">
        <v>52</v>
      </c>
      <c r="C437" s="1" t="s">
        <v>33</v>
      </c>
      <c r="D437" s="1">
        <v>929</v>
      </c>
      <c r="E437" s="13">
        <v>1.83745963401507</v>
      </c>
      <c r="F437" s="3">
        <v>229.8</v>
      </c>
    </row>
    <row r="438" spans="1:6" x14ac:dyDescent="0.35">
      <c r="A438" s="1" t="s">
        <v>7</v>
      </c>
      <c r="B438" s="1" t="s">
        <v>52</v>
      </c>
      <c r="C438" s="1" t="s">
        <v>33</v>
      </c>
      <c r="D438" s="1">
        <v>941</v>
      </c>
      <c r="E438" s="13">
        <v>0</v>
      </c>
      <c r="F438" s="3">
        <v>406.8</v>
      </c>
    </row>
    <row r="439" spans="1:6" x14ac:dyDescent="0.35">
      <c r="A439" s="1" t="s">
        <v>8</v>
      </c>
      <c r="B439" s="1" t="s">
        <v>52</v>
      </c>
      <c r="C439" s="1" t="s">
        <v>33</v>
      </c>
      <c r="D439" s="1">
        <v>997</v>
      </c>
      <c r="E439" s="13">
        <v>0</v>
      </c>
      <c r="F439" s="3">
        <v>594</v>
      </c>
    </row>
    <row r="440" spans="1:6" x14ac:dyDescent="0.35">
      <c r="A440" s="1" t="s">
        <v>9</v>
      </c>
      <c r="B440" s="1" t="s">
        <v>52</v>
      </c>
      <c r="C440" s="1" t="s">
        <v>33</v>
      </c>
      <c r="D440" s="1">
        <v>1283</v>
      </c>
      <c r="E440" s="13">
        <v>0</v>
      </c>
      <c r="F440" s="3">
        <v>840.6</v>
      </c>
    </row>
    <row r="441" spans="1:6" x14ac:dyDescent="0.35">
      <c r="A441" s="1" t="s">
        <v>10</v>
      </c>
      <c r="B441" s="1" t="s">
        <v>52</v>
      </c>
      <c r="C441" s="1" t="s">
        <v>33</v>
      </c>
      <c r="D441" s="1">
        <v>1342</v>
      </c>
      <c r="E441" s="13">
        <v>0</v>
      </c>
      <c r="F441" s="3">
        <v>1098.4000000000001</v>
      </c>
    </row>
    <row r="442" spans="1:6" x14ac:dyDescent="0.35">
      <c r="A442" s="1" t="s">
        <v>11</v>
      </c>
      <c r="B442" s="1" t="s">
        <v>52</v>
      </c>
      <c r="C442" s="1" t="s">
        <v>33</v>
      </c>
      <c r="D442" s="1">
        <v>1431</v>
      </c>
      <c r="E442" s="13">
        <v>0</v>
      </c>
      <c r="F442" s="3">
        <v>1198.8</v>
      </c>
    </row>
    <row r="443" spans="1:6" x14ac:dyDescent="0.35">
      <c r="A443" s="1" t="s">
        <v>12</v>
      </c>
      <c r="B443" s="1" t="s">
        <v>52</v>
      </c>
      <c r="C443" s="1" t="s">
        <v>33</v>
      </c>
      <c r="D443" s="1">
        <v>1625</v>
      </c>
      <c r="E443" s="13">
        <v>0</v>
      </c>
      <c r="F443" s="3">
        <v>1335.6</v>
      </c>
    </row>
    <row r="444" spans="1:6" x14ac:dyDescent="0.35">
      <c r="A444" s="1" t="s">
        <v>13</v>
      </c>
      <c r="B444" s="1" t="s">
        <v>52</v>
      </c>
      <c r="C444" s="1" t="s">
        <v>33</v>
      </c>
      <c r="D444" s="1">
        <v>1598</v>
      </c>
      <c r="E444" s="13">
        <v>0</v>
      </c>
      <c r="F444" s="3">
        <v>1455.8</v>
      </c>
    </row>
    <row r="445" spans="1:6" x14ac:dyDescent="0.35">
      <c r="A445" s="1" t="s">
        <v>14</v>
      </c>
      <c r="B445" s="1" t="s">
        <v>52</v>
      </c>
      <c r="C445" s="1" t="s">
        <v>33</v>
      </c>
      <c r="D445" s="1">
        <v>1651</v>
      </c>
      <c r="E445" s="13">
        <v>0</v>
      </c>
      <c r="F445" s="3">
        <v>1529.4</v>
      </c>
    </row>
    <row r="446" spans="1:6" x14ac:dyDescent="0.35">
      <c r="A446" s="1" t="s">
        <v>15</v>
      </c>
      <c r="B446" s="1" t="s">
        <v>52</v>
      </c>
      <c r="C446" s="1" t="s">
        <v>33</v>
      </c>
      <c r="D446" s="1">
        <v>1671</v>
      </c>
      <c r="E446" s="13">
        <v>0</v>
      </c>
      <c r="F446" s="3">
        <v>1595.2</v>
      </c>
    </row>
    <row r="447" spans="1:6" x14ac:dyDescent="0.35">
      <c r="A447" s="1" t="s">
        <v>16</v>
      </c>
      <c r="B447" s="1" t="s">
        <v>52</v>
      </c>
      <c r="C447" s="1" t="s">
        <v>33</v>
      </c>
      <c r="D447" s="1">
        <v>1721</v>
      </c>
      <c r="E447" s="13">
        <v>0</v>
      </c>
      <c r="F447" s="3">
        <v>1653.2</v>
      </c>
    </row>
    <row r="448" spans="1:6" x14ac:dyDescent="0.35">
      <c r="A448" s="1" t="s">
        <v>17</v>
      </c>
      <c r="B448" s="1" t="s">
        <v>52</v>
      </c>
      <c r="C448" s="1" t="s">
        <v>33</v>
      </c>
      <c r="D448" s="1">
        <v>1724</v>
      </c>
      <c r="E448" s="13">
        <v>0</v>
      </c>
      <c r="F448" s="3">
        <v>1673</v>
      </c>
    </row>
    <row r="449" spans="1:6" x14ac:dyDescent="0.35">
      <c r="A449" s="1" t="s">
        <v>18</v>
      </c>
      <c r="B449" s="1" t="s">
        <v>52</v>
      </c>
      <c r="C449" s="1" t="s">
        <v>33</v>
      </c>
      <c r="D449" s="1">
        <v>1861</v>
      </c>
      <c r="E449" s="13">
        <v>0</v>
      </c>
      <c r="F449" s="3">
        <v>1725.6</v>
      </c>
    </row>
    <row r="450" spans="1:6" x14ac:dyDescent="0.35">
      <c r="A450" s="1" t="s">
        <v>19</v>
      </c>
      <c r="B450" s="1" t="s">
        <v>52</v>
      </c>
      <c r="C450" s="1" t="s">
        <v>33</v>
      </c>
      <c r="D450" s="1">
        <v>1903</v>
      </c>
      <c r="E450" s="13">
        <v>0</v>
      </c>
      <c r="F450" s="3">
        <v>1776</v>
      </c>
    </row>
    <row r="451" spans="1:6" x14ac:dyDescent="0.35">
      <c r="A451" s="1" t="s">
        <v>20</v>
      </c>
      <c r="B451" s="1" t="s">
        <v>52</v>
      </c>
      <c r="C451" s="1" t="s">
        <v>33</v>
      </c>
      <c r="D451" s="1">
        <v>1930</v>
      </c>
      <c r="E451" s="13">
        <v>0</v>
      </c>
      <c r="F451" s="3">
        <v>1827.8</v>
      </c>
    </row>
    <row r="452" spans="1:6" x14ac:dyDescent="0.35">
      <c r="A452" s="1" t="s">
        <v>21</v>
      </c>
      <c r="B452" s="1" t="s">
        <v>52</v>
      </c>
      <c r="C452" s="1" t="s">
        <v>33</v>
      </c>
      <c r="D452" s="1">
        <v>2003</v>
      </c>
      <c r="E452" s="13">
        <v>0</v>
      </c>
      <c r="F452" s="3">
        <v>1884.2</v>
      </c>
    </row>
    <row r="453" spans="1:6" x14ac:dyDescent="0.35">
      <c r="A453" s="1" t="s">
        <v>22</v>
      </c>
      <c r="B453" s="1" t="s">
        <v>52</v>
      </c>
      <c r="C453" s="1" t="s">
        <v>33</v>
      </c>
      <c r="D453" s="1">
        <v>2088</v>
      </c>
      <c r="E453" s="13">
        <v>0</v>
      </c>
      <c r="F453" s="3">
        <v>1957</v>
      </c>
    </row>
    <row r="454" spans="1:6" x14ac:dyDescent="0.35">
      <c r="A454" s="1" t="s">
        <v>23</v>
      </c>
      <c r="B454" s="1" t="s">
        <v>52</v>
      </c>
      <c r="C454" s="1" t="s">
        <v>33</v>
      </c>
      <c r="D454" s="1">
        <v>2311</v>
      </c>
      <c r="E454" s="13">
        <v>0</v>
      </c>
      <c r="F454" s="3">
        <v>2047</v>
      </c>
    </row>
    <row r="455" spans="1:6" x14ac:dyDescent="0.35">
      <c r="A455" s="1" t="s">
        <v>24</v>
      </c>
      <c r="B455" s="1" t="s">
        <v>52</v>
      </c>
      <c r="C455" s="1" t="s">
        <v>33</v>
      </c>
      <c r="D455" s="1">
        <v>2370</v>
      </c>
      <c r="E455" s="13">
        <v>0</v>
      </c>
      <c r="F455" s="3">
        <v>2140.4</v>
      </c>
    </row>
    <row r="456" spans="1:6" x14ac:dyDescent="0.35">
      <c r="A456" s="1" t="s">
        <v>25</v>
      </c>
      <c r="B456" s="1" t="s">
        <v>52</v>
      </c>
      <c r="C456" s="1" t="s">
        <v>33</v>
      </c>
      <c r="D456" s="1">
        <v>2373</v>
      </c>
      <c r="E456" s="13">
        <v>0</v>
      </c>
      <c r="F456" s="3">
        <v>2229</v>
      </c>
    </row>
    <row r="457" spans="1:6" x14ac:dyDescent="0.35">
      <c r="A457" s="1" t="s">
        <v>26</v>
      </c>
      <c r="B457" s="1" t="s">
        <v>52</v>
      </c>
      <c r="C457" s="1" t="s">
        <v>33</v>
      </c>
      <c r="D457" s="1">
        <v>2402</v>
      </c>
      <c r="E457" s="13">
        <v>0</v>
      </c>
      <c r="F457" s="3">
        <v>2308.8000000000002</v>
      </c>
    </row>
    <row r="458" spans="1:6" x14ac:dyDescent="0.35">
      <c r="A458" s="1" t="s">
        <v>27</v>
      </c>
      <c r="B458" s="1" t="s">
        <v>52</v>
      </c>
      <c r="C458" s="1" t="s">
        <v>33</v>
      </c>
      <c r="D458" s="1">
        <v>2476</v>
      </c>
      <c r="E458" s="13">
        <v>0</v>
      </c>
      <c r="F458" s="3">
        <v>2386.4</v>
      </c>
    </row>
    <row r="459" spans="1:6" x14ac:dyDescent="0.35">
      <c r="A459" s="1" t="s">
        <v>28</v>
      </c>
      <c r="B459" s="1" t="s">
        <v>52</v>
      </c>
      <c r="C459" s="1" t="s">
        <v>33</v>
      </c>
      <c r="D459" s="1">
        <v>2636</v>
      </c>
      <c r="E459" s="13">
        <v>0</v>
      </c>
      <c r="F459" s="3">
        <v>2451.4</v>
      </c>
    </row>
    <row r="460" spans="1:6" x14ac:dyDescent="0.35">
      <c r="A460" s="1" t="s">
        <v>4</v>
      </c>
      <c r="B460" s="1" t="s">
        <v>53</v>
      </c>
      <c r="C460" s="1" t="s">
        <v>40</v>
      </c>
      <c r="D460" s="1">
        <v>7731</v>
      </c>
      <c r="E460" s="13">
        <v>0.16763678696158324</v>
      </c>
      <c r="F460" s="3">
        <v>3523.6</v>
      </c>
    </row>
    <row r="461" spans="1:6" x14ac:dyDescent="0.35">
      <c r="A461" s="1" t="s">
        <v>7</v>
      </c>
      <c r="B461" s="1" t="s">
        <v>53</v>
      </c>
      <c r="C461" s="1" t="s">
        <v>40</v>
      </c>
      <c r="D461" s="1">
        <v>7855</v>
      </c>
      <c r="E461" s="13">
        <v>0</v>
      </c>
      <c r="F461" s="3">
        <v>4620</v>
      </c>
    </row>
    <row r="462" spans="1:6" x14ac:dyDescent="0.35">
      <c r="A462" s="1" t="s">
        <v>8</v>
      </c>
      <c r="B462" s="1" t="s">
        <v>53</v>
      </c>
      <c r="C462" s="1" t="s">
        <v>40</v>
      </c>
      <c r="D462" s="1">
        <v>7948</v>
      </c>
      <c r="E462" s="13">
        <v>0</v>
      </c>
      <c r="F462" s="3">
        <v>5729.2</v>
      </c>
    </row>
    <row r="463" spans="1:6" x14ac:dyDescent="0.35">
      <c r="A463" s="1" t="s">
        <v>9</v>
      </c>
      <c r="B463" s="1" t="s">
        <v>53</v>
      </c>
      <c r="C463" s="1" t="s">
        <v>40</v>
      </c>
      <c r="D463" s="1">
        <v>8012</v>
      </c>
      <c r="E463" s="13">
        <v>0</v>
      </c>
      <c r="F463" s="3">
        <v>6836.4</v>
      </c>
    </row>
    <row r="464" spans="1:6" x14ac:dyDescent="0.35">
      <c r="A464" s="1" t="s">
        <v>10</v>
      </c>
      <c r="B464" s="1" t="s">
        <v>53</v>
      </c>
      <c r="C464" s="1" t="s">
        <v>40</v>
      </c>
      <c r="D464" s="1">
        <v>8071</v>
      </c>
      <c r="E464" s="13">
        <v>0</v>
      </c>
      <c r="F464" s="3">
        <v>7923.4</v>
      </c>
    </row>
    <row r="465" spans="1:6" x14ac:dyDescent="0.35">
      <c r="A465" s="1" t="s">
        <v>11</v>
      </c>
      <c r="B465" s="1" t="s">
        <v>53</v>
      </c>
      <c r="C465" s="1" t="s">
        <v>40</v>
      </c>
      <c r="D465" s="1">
        <v>8125</v>
      </c>
      <c r="E465" s="13">
        <v>0</v>
      </c>
      <c r="F465" s="3">
        <v>8002.2</v>
      </c>
    </row>
    <row r="466" spans="1:6" x14ac:dyDescent="0.35">
      <c r="A466" s="1" t="s">
        <v>12</v>
      </c>
      <c r="B466" s="1" t="s">
        <v>53</v>
      </c>
      <c r="C466" s="1" t="s">
        <v>40</v>
      </c>
      <c r="D466" s="1">
        <v>8179</v>
      </c>
      <c r="E466" s="13">
        <v>0</v>
      </c>
      <c r="F466" s="3">
        <v>8067</v>
      </c>
    </row>
    <row r="467" spans="1:6" x14ac:dyDescent="0.35">
      <c r="A467" s="1" t="s">
        <v>13</v>
      </c>
      <c r="B467" s="1" t="s">
        <v>53</v>
      </c>
      <c r="C467" s="1" t="s">
        <v>40</v>
      </c>
      <c r="D467" s="1">
        <v>8232</v>
      </c>
      <c r="E467" s="13">
        <v>0</v>
      </c>
      <c r="F467" s="3">
        <v>8123.8</v>
      </c>
    </row>
    <row r="468" spans="1:6" x14ac:dyDescent="0.35">
      <c r="A468" s="1" t="s">
        <v>14</v>
      </c>
      <c r="B468" s="1" t="s">
        <v>53</v>
      </c>
      <c r="C468" s="1" t="s">
        <v>40</v>
      </c>
      <c r="D468" s="1">
        <v>8285</v>
      </c>
      <c r="E468" s="13">
        <v>0</v>
      </c>
      <c r="F468" s="3">
        <v>8178.4</v>
      </c>
    </row>
    <row r="469" spans="1:6" x14ac:dyDescent="0.35">
      <c r="A469" s="1" t="s">
        <v>15</v>
      </c>
      <c r="B469" s="1" t="s">
        <v>53</v>
      </c>
      <c r="C469" s="1" t="s">
        <v>40</v>
      </c>
      <c r="D469" s="1">
        <v>8338</v>
      </c>
      <c r="E469" s="13">
        <v>0</v>
      </c>
      <c r="F469" s="3">
        <v>8231.7999999999993</v>
      </c>
    </row>
    <row r="470" spans="1:6" x14ac:dyDescent="0.35">
      <c r="A470" s="1" t="s">
        <v>16</v>
      </c>
      <c r="B470" s="1" t="s">
        <v>53</v>
      </c>
      <c r="C470" s="1" t="s">
        <v>40</v>
      </c>
      <c r="D470" s="1">
        <v>8391</v>
      </c>
      <c r="E470" s="13">
        <v>0</v>
      </c>
      <c r="F470" s="3">
        <v>8285</v>
      </c>
    </row>
    <row r="471" spans="1:6" x14ac:dyDescent="0.35">
      <c r="A471" s="1" t="s">
        <v>17</v>
      </c>
      <c r="B471" s="1" t="s">
        <v>53</v>
      </c>
      <c r="C471" s="1" t="s">
        <v>40</v>
      </c>
      <c r="D471" s="1">
        <v>8444</v>
      </c>
      <c r="E471" s="13">
        <v>0</v>
      </c>
      <c r="F471" s="3">
        <v>8338</v>
      </c>
    </row>
    <row r="472" spans="1:6" x14ac:dyDescent="0.35">
      <c r="A472" s="1" t="s">
        <v>18</v>
      </c>
      <c r="B472" s="1" t="s">
        <v>53</v>
      </c>
      <c r="C472" s="1" t="s">
        <v>40</v>
      </c>
      <c r="D472" s="1">
        <v>8497</v>
      </c>
      <c r="E472" s="13">
        <v>0</v>
      </c>
      <c r="F472" s="3">
        <v>8391</v>
      </c>
    </row>
    <row r="473" spans="1:6" x14ac:dyDescent="0.35">
      <c r="A473" s="1" t="s">
        <v>19</v>
      </c>
      <c r="B473" s="1" t="s">
        <v>53</v>
      </c>
      <c r="C473" s="1" t="s">
        <v>40</v>
      </c>
      <c r="D473" s="1">
        <v>8550</v>
      </c>
      <c r="E473" s="13">
        <v>0</v>
      </c>
      <c r="F473" s="3">
        <v>8444</v>
      </c>
    </row>
    <row r="474" spans="1:6" x14ac:dyDescent="0.35">
      <c r="A474" s="1" t="s">
        <v>20</v>
      </c>
      <c r="B474" s="1" t="s">
        <v>53</v>
      </c>
      <c r="C474" s="1" t="s">
        <v>40</v>
      </c>
      <c r="D474" s="1">
        <v>8603</v>
      </c>
      <c r="E474" s="13">
        <v>0</v>
      </c>
      <c r="F474" s="3">
        <v>8497</v>
      </c>
    </row>
    <row r="475" spans="1:6" x14ac:dyDescent="0.35">
      <c r="A475" s="1" t="s">
        <v>21</v>
      </c>
      <c r="B475" s="1" t="s">
        <v>53</v>
      </c>
      <c r="C475" s="1" t="s">
        <v>40</v>
      </c>
      <c r="D475" s="1">
        <v>8656</v>
      </c>
      <c r="E475" s="13">
        <v>0</v>
      </c>
      <c r="F475" s="3">
        <v>8550</v>
      </c>
    </row>
    <row r="476" spans="1:6" x14ac:dyDescent="0.35">
      <c r="A476" s="1" t="s">
        <v>22</v>
      </c>
      <c r="B476" s="1" t="s">
        <v>53</v>
      </c>
      <c r="C476" s="1" t="s">
        <v>40</v>
      </c>
      <c r="D476" s="1">
        <v>8709</v>
      </c>
      <c r="E476" s="13">
        <v>0</v>
      </c>
      <c r="F476" s="3">
        <v>8603</v>
      </c>
    </row>
    <row r="477" spans="1:6" x14ac:dyDescent="0.35">
      <c r="A477" s="1" t="s">
        <v>23</v>
      </c>
      <c r="B477" s="1" t="s">
        <v>53</v>
      </c>
      <c r="C477" s="1" t="s">
        <v>40</v>
      </c>
      <c r="D477" s="1">
        <v>8762</v>
      </c>
      <c r="E477" s="13">
        <v>0</v>
      </c>
      <c r="F477" s="3">
        <v>8656</v>
      </c>
    </row>
    <row r="478" spans="1:6" x14ac:dyDescent="0.35">
      <c r="A478" s="1" t="s">
        <v>24</v>
      </c>
      <c r="B478" s="1" t="s">
        <v>53</v>
      </c>
      <c r="C478" s="1" t="s">
        <v>40</v>
      </c>
      <c r="D478" s="1">
        <v>8815</v>
      </c>
      <c r="E478" s="13">
        <v>0</v>
      </c>
      <c r="F478" s="3">
        <v>8709</v>
      </c>
    </row>
    <row r="479" spans="1:6" x14ac:dyDescent="0.35">
      <c r="A479" s="1" t="s">
        <v>25</v>
      </c>
      <c r="B479" s="1" t="s">
        <v>53</v>
      </c>
      <c r="C479" s="1" t="s">
        <v>40</v>
      </c>
      <c r="D479" s="1">
        <v>8868</v>
      </c>
      <c r="E479" s="13">
        <v>0</v>
      </c>
      <c r="F479" s="3">
        <v>8762</v>
      </c>
    </row>
    <row r="480" spans="1:6" x14ac:dyDescent="0.35">
      <c r="A480" s="1" t="s">
        <v>26</v>
      </c>
      <c r="B480" s="1" t="s">
        <v>53</v>
      </c>
      <c r="C480" s="1" t="s">
        <v>40</v>
      </c>
      <c r="D480" s="1">
        <v>8921</v>
      </c>
      <c r="E480" s="13">
        <v>0</v>
      </c>
      <c r="F480" s="3">
        <v>8815</v>
      </c>
    </row>
    <row r="481" spans="1:6" x14ac:dyDescent="0.35">
      <c r="A481" s="1" t="s">
        <v>27</v>
      </c>
      <c r="B481" s="1" t="s">
        <v>53</v>
      </c>
      <c r="C481" s="1" t="s">
        <v>40</v>
      </c>
      <c r="D481" s="1">
        <v>8974</v>
      </c>
      <c r="E481" s="13">
        <v>0</v>
      </c>
      <c r="F481" s="3">
        <v>8868</v>
      </c>
    </row>
    <row r="482" spans="1:6" x14ac:dyDescent="0.35">
      <c r="A482" s="1" t="s">
        <v>28</v>
      </c>
      <c r="B482" s="1" t="s">
        <v>53</v>
      </c>
      <c r="C482" s="1" t="s">
        <v>40</v>
      </c>
      <c r="D482" s="1">
        <v>9027</v>
      </c>
      <c r="E482" s="13">
        <v>0</v>
      </c>
      <c r="F482" s="3">
        <v>8921</v>
      </c>
    </row>
    <row r="483" spans="1:6" x14ac:dyDescent="0.35">
      <c r="A483" s="1" t="s">
        <v>4</v>
      </c>
      <c r="B483" s="1" t="s">
        <v>54</v>
      </c>
      <c r="C483" s="1" t="s">
        <v>40</v>
      </c>
      <c r="D483" s="1">
        <v>4652</v>
      </c>
      <c r="E483" s="13">
        <v>0.51074806534823736</v>
      </c>
      <c r="F483" s="3">
        <v>8088.4</v>
      </c>
    </row>
    <row r="484" spans="1:6" x14ac:dyDescent="0.35">
      <c r="A484" s="1" t="s">
        <v>7</v>
      </c>
      <c r="B484" s="1" t="s">
        <v>54</v>
      </c>
      <c r="C484" s="1" t="s">
        <v>40</v>
      </c>
      <c r="D484" s="1">
        <v>4760</v>
      </c>
      <c r="E484" s="13">
        <v>0</v>
      </c>
      <c r="F484" s="3">
        <v>7266.8</v>
      </c>
    </row>
    <row r="485" spans="1:6" x14ac:dyDescent="0.35">
      <c r="A485" s="1" t="s">
        <v>8</v>
      </c>
      <c r="B485" s="1" t="s">
        <v>54</v>
      </c>
      <c r="C485" s="1" t="s">
        <v>40</v>
      </c>
      <c r="D485" s="1">
        <v>4868</v>
      </c>
      <c r="E485" s="13">
        <v>0</v>
      </c>
      <c r="F485" s="3">
        <v>6456.2</v>
      </c>
    </row>
    <row r="486" spans="1:6" x14ac:dyDescent="0.35">
      <c r="A486" s="1" t="s">
        <v>9</v>
      </c>
      <c r="B486" s="1" t="s">
        <v>54</v>
      </c>
      <c r="C486" s="1" t="s">
        <v>40</v>
      </c>
      <c r="D486" s="1">
        <v>4976</v>
      </c>
      <c r="E486" s="13">
        <v>0</v>
      </c>
      <c r="F486" s="3">
        <v>5656.6</v>
      </c>
    </row>
    <row r="487" spans="1:6" x14ac:dyDescent="0.35">
      <c r="A487" s="1" t="s">
        <v>10</v>
      </c>
      <c r="B487" s="1" t="s">
        <v>54</v>
      </c>
      <c r="C487" s="1" t="s">
        <v>40</v>
      </c>
      <c r="D487" s="1">
        <v>5084</v>
      </c>
      <c r="E487" s="13">
        <v>0</v>
      </c>
      <c r="F487" s="3">
        <v>4868</v>
      </c>
    </row>
    <row r="488" spans="1:6" x14ac:dyDescent="0.35">
      <c r="A488" s="1" t="s">
        <v>11</v>
      </c>
      <c r="B488" s="1" t="s">
        <v>54</v>
      </c>
      <c r="C488" s="1" t="s">
        <v>40</v>
      </c>
      <c r="D488" s="1">
        <v>5192</v>
      </c>
      <c r="E488" s="13">
        <v>0</v>
      </c>
      <c r="F488" s="3">
        <v>4976</v>
      </c>
    </row>
    <row r="489" spans="1:6" x14ac:dyDescent="0.35">
      <c r="A489" s="1" t="s">
        <v>12</v>
      </c>
      <c r="B489" s="1" t="s">
        <v>54</v>
      </c>
      <c r="C489" s="1" t="s">
        <v>40</v>
      </c>
      <c r="D489" s="1">
        <v>5300</v>
      </c>
      <c r="E489" s="13">
        <v>0</v>
      </c>
      <c r="F489" s="3">
        <v>5084</v>
      </c>
    </row>
    <row r="490" spans="1:6" x14ac:dyDescent="0.35">
      <c r="A490" s="1" t="s">
        <v>13</v>
      </c>
      <c r="B490" s="1" t="s">
        <v>54</v>
      </c>
      <c r="C490" s="1" t="s">
        <v>40</v>
      </c>
      <c r="D490" s="1">
        <v>5408</v>
      </c>
      <c r="E490" s="13">
        <v>0</v>
      </c>
      <c r="F490" s="3">
        <v>5192</v>
      </c>
    </row>
    <row r="491" spans="1:6" x14ac:dyDescent="0.35">
      <c r="A491" s="1" t="s">
        <v>14</v>
      </c>
      <c r="B491" s="1" t="s">
        <v>54</v>
      </c>
      <c r="C491" s="1" t="s">
        <v>40</v>
      </c>
      <c r="D491" s="1">
        <v>5516</v>
      </c>
      <c r="E491" s="13">
        <v>0</v>
      </c>
      <c r="F491" s="3">
        <v>5300</v>
      </c>
    </row>
    <row r="492" spans="1:6" x14ac:dyDescent="0.35">
      <c r="A492" s="1" t="s">
        <v>15</v>
      </c>
      <c r="B492" s="1" t="s">
        <v>54</v>
      </c>
      <c r="C492" s="1" t="s">
        <v>40</v>
      </c>
      <c r="D492" s="1">
        <v>5624</v>
      </c>
      <c r="E492" s="13">
        <v>0</v>
      </c>
      <c r="F492" s="3">
        <v>5408</v>
      </c>
    </row>
    <row r="493" spans="1:6" x14ac:dyDescent="0.35">
      <c r="A493" s="1" t="s">
        <v>16</v>
      </c>
      <c r="B493" s="1" t="s">
        <v>54</v>
      </c>
      <c r="C493" s="1" t="s">
        <v>40</v>
      </c>
      <c r="D493" s="1">
        <v>5732</v>
      </c>
      <c r="E493" s="13">
        <v>0</v>
      </c>
      <c r="F493" s="3">
        <v>5516</v>
      </c>
    </row>
    <row r="494" spans="1:6" x14ac:dyDescent="0.35">
      <c r="A494" s="1" t="s">
        <v>17</v>
      </c>
      <c r="B494" s="1" t="s">
        <v>54</v>
      </c>
      <c r="C494" s="1" t="s">
        <v>40</v>
      </c>
      <c r="D494" s="1">
        <v>5840</v>
      </c>
      <c r="E494" s="13">
        <v>0</v>
      </c>
      <c r="F494" s="3">
        <v>5624</v>
      </c>
    </row>
    <row r="495" spans="1:6" x14ac:dyDescent="0.35">
      <c r="A495" s="1" t="s">
        <v>18</v>
      </c>
      <c r="B495" s="1" t="s">
        <v>54</v>
      </c>
      <c r="C495" s="1" t="s">
        <v>40</v>
      </c>
      <c r="D495" s="1">
        <v>5948</v>
      </c>
      <c r="E495" s="13">
        <v>0</v>
      </c>
      <c r="F495" s="3">
        <v>5732</v>
      </c>
    </row>
    <row r="496" spans="1:6" x14ac:dyDescent="0.35">
      <c r="A496" s="1" t="s">
        <v>19</v>
      </c>
      <c r="B496" s="1" t="s">
        <v>54</v>
      </c>
      <c r="C496" s="1" t="s">
        <v>40</v>
      </c>
      <c r="D496" s="1">
        <v>6056</v>
      </c>
      <c r="E496" s="13">
        <v>0</v>
      </c>
      <c r="F496" s="3">
        <v>5840</v>
      </c>
    </row>
    <row r="497" spans="1:6" x14ac:dyDescent="0.35">
      <c r="A497" s="1" t="s">
        <v>20</v>
      </c>
      <c r="B497" s="1" t="s">
        <v>54</v>
      </c>
      <c r="C497" s="1" t="s">
        <v>40</v>
      </c>
      <c r="D497" s="1">
        <v>6164</v>
      </c>
      <c r="E497" s="13">
        <v>0</v>
      </c>
      <c r="F497" s="3">
        <v>5948</v>
      </c>
    </row>
    <row r="498" spans="1:6" x14ac:dyDescent="0.35">
      <c r="A498" s="1" t="s">
        <v>21</v>
      </c>
      <c r="B498" s="1" t="s">
        <v>54</v>
      </c>
      <c r="C498" s="1" t="s">
        <v>40</v>
      </c>
      <c r="D498" s="1">
        <v>6272</v>
      </c>
      <c r="E498" s="13">
        <v>0</v>
      </c>
      <c r="F498" s="3">
        <v>6056</v>
      </c>
    </row>
    <row r="499" spans="1:6" x14ac:dyDescent="0.35">
      <c r="A499" s="1" t="s">
        <v>22</v>
      </c>
      <c r="B499" s="1" t="s">
        <v>54</v>
      </c>
      <c r="C499" s="1" t="s">
        <v>40</v>
      </c>
      <c r="D499" s="1">
        <v>6380</v>
      </c>
      <c r="E499" s="13">
        <v>0</v>
      </c>
      <c r="F499" s="3">
        <v>6164</v>
      </c>
    </row>
    <row r="500" spans="1:6" x14ac:dyDescent="0.35">
      <c r="A500" s="1" t="s">
        <v>23</v>
      </c>
      <c r="B500" s="1" t="s">
        <v>54</v>
      </c>
      <c r="C500" s="1" t="s">
        <v>40</v>
      </c>
      <c r="D500" s="1">
        <v>6488</v>
      </c>
      <c r="E500" s="13">
        <v>0</v>
      </c>
      <c r="F500" s="3">
        <v>6272</v>
      </c>
    </row>
    <row r="501" spans="1:6" x14ac:dyDescent="0.35">
      <c r="A501" s="1" t="s">
        <v>24</v>
      </c>
      <c r="B501" s="1" t="s">
        <v>54</v>
      </c>
      <c r="C501" s="1" t="s">
        <v>40</v>
      </c>
      <c r="D501" s="1">
        <v>6596</v>
      </c>
      <c r="E501" s="13">
        <v>0</v>
      </c>
      <c r="F501" s="3">
        <v>6380</v>
      </c>
    </row>
    <row r="502" spans="1:6" x14ac:dyDescent="0.35">
      <c r="A502" s="1" t="s">
        <v>25</v>
      </c>
      <c r="B502" s="1" t="s">
        <v>54</v>
      </c>
      <c r="C502" s="1" t="s">
        <v>40</v>
      </c>
      <c r="D502" s="1">
        <v>6704</v>
      </c>
      <c r="E502" s="13">
        <v>0</v>
      </c>
      <c r="F502" s="3">
        <v>6488</v>
      </c>
    </row>
    <row r="503" spans="1:6" x14ac:dyDescent="0.35">
      <c r="A503" s="1" t="s">
        <v>26</v>
      </c>
      <c r="B503" s="1" t="s">
        <v>54</v>
      </c>
      <c r="C503" s="1" t="s">
        <v>40</v>
      </c>
      <c r="D503" s="1">
        <v>6812</v>
      </c>
      <c r="E503" s="13">
        <v>0</v>
      </c>
      <c r="F503" s="3">
        <v>6596</v>
      </c>
    </row>
    <row r="504" spans="1:6" x14ac:dyDescent="0.35">
      <c r="A504" s="1" t="s">
        <v>27</v>
      </c>
      <c r="B504" s="1" t="s">
        <v>54</v>
      </c>
      <c r="C504" s="1" t="s">
        <v>40</v>
      </c>
      <c r="D504" s="1">
        <v>6920</v>
      </c>
      <c r="E504" s="13">
        <v>0</v>
      </c>
      <c r="F504" s="3">
        <v>6704</v>
      </c>
    </row>
    <row r="505" spans="1:6" x14ac:dyDescent="0.35">
      <c r="A505" s="1" t="s">
        <v>28</v>
      </c>
      <c r="B505" s="1" t="s">
        <v>54</v>
      </c>
      <c r="C505" s="1" t="s">
        <v>40</v>
      </c>
      <c r="D505" s="1">
        <v>7028</v>
      </c>
      <c r="E505" s="13">
        <v>0</v>
      </c>
      <c r="F505" s="3">
        <v>6812</v>
      </c>
    </row>
    <row r="506" spans="1:6" x14ac:dyDescent="0.35">
      <c r="A506" s="1" t="s">
        <v>4</v>
      </c>
      <c r="B506" s="1" t="s">
        <v>55</v>
      </c>
      <c r="C506" s="1" t="s">
        <v>30</v>
      </c>
      <c r="D506" s="1">
        <v>23</v>
      </c>
      <c r="E506" s="13">
        <v>0.56521739130434778</v>
      </c>
      <c r="F506" s="3">
        <v>5497.4</v>
      </c>
    </row>
    <row r="507" spans="1:6" x14ac:dyDescent="0.35">
      <c r="A507" s="1" t="s">
        <v>7</v>
      </c>
      <c r="B507" s="1" t="s">
        <v>55</v>
      </c>
      <c r="C507" s="1" t="s">
        <v>30</v>
      </c>
      <c r="D507" s="1">
        <v>24</v>
      </c>
      <c r="E507" s="13">
        <v>0</v>
      </c>
      <c r="F507" s="3">
        <v>4161.3999999999996</v>
      </c>
    </row>
    <row r="508" spans="1:6" x14ac:dyDescent="0.35">
      <c r="A508" s="1" t="s">
        <v>8</v>
      </c>
      <c r="B508" s="1" t="s">
        <v>55</v>
      </c>
      <c r="C508" s="1" t="s">
        <v>30</v>
      </c>
      <c r="D508" s="1">
        <v>24</v>
      </c>
      <c r="E508" s="13">
        <v>0</v>
      </c>
      <c r="F508" s="3">
        <v>2803.8</v>
      </c>
    </row>
    <row r="509" spans="1:6" x14ac:dyDescent="0.35">
      <c r="A509" s="1" t="s">
        <v>9</v>
      </c>
      <c r="B509" s="1" t="s">
        <v>55</v>
      </c>
      <c r="C509" s="1" t="s">
        <v>30</v>
      </c>
      <c r="D509" s="1">
        <v>25</v>
      </c>
      <c r="E509" s="13">
        <v>0</v>
      </c>
      <c r="F509" s="3">
        <v>1424.8</v>
      </c>
    </row>
    <row r="510" spans="1:6" x14ac:dyDescent="0.35">
      <c r="A510" s="1" t="s">
        <v>10</v>
      </c>
      <c r="B510" s="1" t="s">
        <v>55</v>
      </c>
      <c r="C510" s="1" t="s">
        <v>30</v>
      </c>
      <c r="D510" s="1">
        <v>25</v>
      </c>
      <c r="E510" s="13">
        <v>0</v>
      </c>
      <c r="F510" s="3">
        <v>24.2</v>
      </c>
    </row>
    <row r="511" spans="1:6" x14ac:dyDescent="0.35">
      <c r="A511" s="1" t="s">
        <v>11</v>
      </c>
      <c r="B511" s="1" t="s">
        <v>55</v>
      </c>
      <c r="C511" s="1" t="s">
        <v>30</v>
      </c>
      <c r="D511" s="1">
        <v>25</v>
      </c>
      <c r="E511" s="13">
        <v>0</v>
      </c>
      <c r="F511" s="3">
        <v>24.6</v>
      </c>
    </row>
    <row r="512" spans="1:6" x14ac:dyDescent="0.35">
      <c r="A512" s="1" t="s">
        <v>12</v>
      </c>
      <c r="B512" s="1" t="s">
        <v>55</v>
      </c>
      <c r="C512" s="1" t="s">
        <v>30</v>
      </c>
      <c r="D512" s="1">
        <v>26</v>
      </c>
      <c r="E512" s="13">
        <v>0</v>
      </c>
      <c r="F512" s="3">
        <v>25</v>
      </c>
    </row>
    <row r="513" spans="1:6" x14ac:dyDescent="0.35">
      <c r="A513" s="1" t="s">
        <v>13</v>
      </c>
      <c r="B513" s="1" t="s">
        <v>55</v>
      </c>
      <c r="C513" s="1" t="s">
        <v>30</v>
      </c>
      <c r="D513" s="1">
        <v>26</v>
      </c>
      <c r="E513" s="13">
        <v>0</v>
      </c>
      <c r="F513" s="3">
        <v>25.4</v>
      </c>
    </row>
    <row r="514" spans="1:6" x14ac:dyDescent="0.35">
      <c r="A514" s="1" t="s">
        <v>14</v>
      </c>
      <c r="B514" s="1" t="s">
        <v>55</v>
      </c>
      <c r="C514" s="1" t="s">
        <v>30</v>
      </c>
      <c r="D514" s="1">
        <v>26</v>
      </c>
      <c r="E514" s="13">
        <v>0</v>
      </c>
      <c r="F514" s="3">
        <v>25.6</v>
      </c>
    </row>
    <row r="515" spans="1:6" x14ac:dyDescent="0.35">
      <c r="A515" s="1" t="s">
        <v>15</v>
      </c>
      <c r="B515" s="1" t="s">
        <v>55</v>
      </c>
      <c r="C515" s="1" t="s">
        <v>30</v>
      </c>
      <c r="D515" s="1">
        <v>26</v>
      </c>
      <c r="E515" s="13">
        <v>0</v>
      </c>
      <c r="F515" s="3">
        <v>25.8</v>
      </c>
    </row>
    <row r="516" spans="1:6" x14ac:dyDescent="0.35">
      <c r="A516" s="1" t="s">
        <v>16</v>
      </c>
      <c r="B516" s="1" t="s">
        <v>55</v>
      </c>
      <c r="C516" s="1" t="s">
        <v>30</v>
      </c>
      <c r="D516" s="1">
        <v>27</v>
      </c>
      <c r="E516" s="13">
        <v>0</v>
      </c>
      <c r="F516" s="3">
        <v>26.2</v>
      </c>
    </row>
    <row r="517" spans="1:6" x14ac:dyDescent="0.35">
      <c r="A517" s="1" t="s">
        <v>17</v>
      </c>
      <c r="B517" s="1" t="s">
        <v>55</v>
      </c>
      <c r="C517" s="1" t="s">
        <v>30</v>
      </c>
      <c r="D517" s="1">
        <v>27</v>
      </c>
      <c r="E517" s="13">
        <v>0</v>
      </c>
      <c r="F517" s="3">
        <v>26.4</v>
      </c>
    </row>
    <row r="518" spans="1:6" x14ac:dyDescent="0.35">
      <c r="A518" s="1" t="s">
        <v>18</v>
      </c>
      <c r="B518" s="1" t="s">
        <v>55</v>
      </c>
      <c r="C518" s="1" t="s">
        <v>30</v>
      </c>
      <c r="D518" s="1">
        <v>28</v>
      </c>
      <c r="E518" s="13">
        <v>0</v>
      </c>
      <c r="F518" s="3">
        <v>26.8</v>
      </c>
    </row>
    <row r="519" spans="1:6" x14ac:dyDescent="0.35">
      <c r="A519" s="1" t="s">
        <v>19</v>
      </c>
      <c r="B519" s="1" t="s">
        <v>55</v>
      </c>
      <c r="C519" s="1" t="s">
        <v>30</v>
      </c>
      <c r="D519" s="1">
        <v>28</v>
      </c>
      <c r="E519" s="13">
        <v>0</v>
      </c>
      <c r="F519" s="3">
        <v>27.2</v>
      </c>
    </row>
    <row r="520" spans="1:6" x14ac:dyDescent="0.35">
      <c r="A520" s="1" t="s">
        <v>20</v>
      </c>
      <c r="B520" s="1" t="s">
        <v>55</v>
      </c>
      <c r="C520" s="1" t="s">
        <v>30</v>
      </c>
      <c r="D520" s="1">
        <v>29</v>
      </c>
      <c r="E520" s="13">
        <v>0</v>
      </c>
      <c r="F520" s="3">
        <v>27.8</v>
      </c>
    </row>
    <row r="521" spans="1:6" x14ac:dyDescent="0.35">
      <c r="A521" s="1" t="s">
        <v>21</v>
      </c>
      <c r="B521" s="1" t="s">
        <v>55</v>
      </c>
      <c r="C521" s="1" t="s">
        <v>30</v>
      </c>
      <c r="D521" s="1">
        <v>29</v>
      </c>
      <c r="E521" s="13">
        <v>0</v>
      </c>
      <c r="F521" s="3">
        <v>28.2</v>
      </c>
    </row>
    <row r="522" spans="1:6" x14ac:dyDescent="0.35">
      <c r="A522" s="1" t="s">
        <v>22</v>
      </c>
      <c r="B522" s="1" t="s">
        <v>55</v>
      </c>
      <c r="C522" s="1" t="s">
        <v>30</v>
      </c>
      <c r="D522" s="1">
        <v>30</v>
      </c>
      <c r="E522" s="13">
        <v>0</v>
      </c>
      <c r="F522" s="3">
        <v>28.8</v>
      </c>
    </row>
    <row r="523" spans="1:6" x14ac:dyDescent="0.35">
      <c r="A523" s="1" t="s">
        <v>23</v>
      </c>
      <c r="B523" s="1" t="s">
        <v>55</v>
      </c>
      <c r="C523" s="1" t="s">
        <v>30</v>
      </c>
      <c r="D523" s="1">
        <v>31</v>
      </c>
      <c r="E523" s="13">
        <v>0</v>
      </c>
      <c r="F523" s="3">
        <v>29.4</v>
      </c>
    </row>
    <row r="524" spans="1:6" x14ac:dyDescent="0.35">
      <c r="A524" s="1" t="s">
        <v>24</v>
      </c>
      <c r="B524" s="1" t="s">
        <v>55</v>
      </c>
      <c r="C524" s="1" t="s">
        <v>30</v>
      </c>
      <c r="D524" s="1">
        <v>32</v>
      </c>
      <c r="E524" s="13">
        <v>0</v>
      </c>
      <c r="F524" s="3">
        <v>30.2</v>
      </c>
    </row>
    <row r="525" spans="1:6" x14ac:dyDescent="0.35">
      <c r="A525" s="1" t="s">
        <v>25</v>
      </c>
      <c r="B525" s="1" t="s">
        <v>55</v>
      </c>
      <c r="C525" s="1" t="s">
        <v>30</v>
      </c>
      <c r="D525" s="1">
        <v>33</v>
      </c>
      <c r="E525" s="13">
        <v>0</v>
      </c>
      <c r="F525" s="3">
        <v>31</v>
      </c>
    </row>
    <row r="526" spans="1:6" x14ac:dyDescent="0.35">
      <c r="A526" s="1" t="s">
        <v>26</v>
      </c>
      <c r="B526" s="1" t="s">
        <v>55</v>
      </c>
      <c r="C526" s="1" t="s">
        <v>30</v>
      </c>
      <c r="D526" s="1">
        <v>34</v>
      </c>
      <c r="E526" s="13">
        <v>0</v>
      </c>
      <c r="F526" s="3">
        <v>32</v>
      </c>
    </row>
    <row r="527" spans="1:6" x14ac:dyDescent="0.35">
      <c r="A527" s="1" t="s">
        <v>27</v>
      </c>
      <c r="B527" s="1" t="s">
        <v>55</v>
      </c>
      <c r="C527" s="1" t="s">
        <v>30</v>
      </c>
      <c r="D527" s="1">
        <v>35</v>
      </c>
      <c r="E527" s="13">
        <v>0</v>
      </c>
      <c r="F527" s="3">
        <v>33</v>
      </c>
    </row>
    <row r="528" spans="1:6" x14ac:dyDescent="0.35">
      <c r="A528" s="1" t="s">
        <v>28</v>
      </c>
      <c r="B528" s="1" t="s">
        <v>55</v>
      </c>
      <c r="C528" s="1" t="s">
        <v>30</v>
      </c>
      <c r="D528" s="1">
        <v>36</v>
      </c>
      <c r="E528" s="13">
        <v>0</v>
      </c>
      <c r="F528" s="3">
        <v>34</v>
      </c>
    </row>
    <row r="529" spans="1:6" x14ac:dyDescent="0.35">
      <c r="A529" s="1" t="s">
        <v>4</v>
      </c>
      <c r="B529" s="1" t="s">
        <v>56</v>
      </c>
      <c r="C529" s="1" t="s">
        <v>6</v>
      </c>
      <c r="D529" s="1">
        <v>4972</v>
      </c>
      <c r="E529" s="13">
        <v>0.57683024939662109</v>
      </c>
      <c r="F529" s="3">
        <v>1022</v>
      </c>
    </row>
    <row r="530" spans="1:6" x14ac:dyDescent="0.35">
      <c r="A530" s="1" t="s">
        <v>7</v>
      </c>
      <c r="B530" s="1" t="s">
        <v>56</v>
      </c>
      <c r="C530" s="1" t="s">
        <v>6</v>
      </c>
      <c r="D530" s="1">
        <v>5107</v>
      </c>
      <c r="E530" s="13">
        <v>0</v>
      </c>
      <c r="F530" s="3">
        <v>2036.8</v>
      </c>
    </row>
    <row r="531" spans="1:6" x14ac:dyDescent="0.35">
      <c r="A531" s="1" t="s">
        <v>8</v>
      </c>
      <c r="B531" s="1" t="s">
        <v>56</v>
      </c>
      <c r="C531" s="1" t="s">
        <v>6</v>
      </c>
      <c r="D531" s="1">
        <v>5239</v>
      </c>
      <c r="E531" s="13">
        <v>0</v>
      </c>
      <c r="F531" s="3">
        <v>3077.8</v>
      </c>
    </row>
    <row r="532" spans="1:6" x14ac:dyDescent="0.35">
      <c r="A532" s="1" t="s">
        <v>9</v>
      </c>
      <c r="B532" s="1" t="s">
        <v>56</v>
      </c>
      <c r="C532" s="1" t="s">
        <v>6</v>
      </c>
      <c r="D532" s="1">
        <v>5370</v>
      </c>
      <c r="E532" s="13">
        <v>0</v>
      </c>
      <c r="F532" s="3">
        <v>4144.8</v>
      </c>
    </row>
    <row r="533" spans="1:6" x14ac:dyDescent="0.35">
      <c r="A533" s="1" t="s">
        <v>10</v>
      </c>
      <c r="B533" s="1" t="s">
        <v>56</v>
      </c>
      <c r="C533" s="1" t="s">
        <v>6</v>
      </c>
      <c r="D533" s="1">
        <v>5500</v>
      </c>
      <c r="E533" s="13">
        <v>0</v>
      </c>
      <c r="F533" s="3">
        <v>5237.6000000000004</v>
      </c>
    </row>
    <row r="534" spans="1:6" x14ac:dyDescent="0.35">
      <c r="A534" s="1" t="s">
        <v>11</v>
      </c>
      <c r="B534" s="1" t="s">
        <v>56</v>
      </c>
      <c r="C534" s="1" t="s">
        <v>6</v>
      </c>
      <c r="D534" s="1">
        <v>5630</v>
      </c>
      <c r="E534" s="13">
        <v>0</v>
      </c>
      <c r="F534" s="3">
        <v>5369.2</v>
      </c>
    </row>
    <row r="535" spans="1:6" x14ac:dyDescent="0.35">
      <c r="A535" s="1" t="s">
        <v>12</v>
      </c>
      <c r="B535" s="1" t="s">
        <v>56</v>
      </c>
      <c r="C535" s="1" t="s">
        <v>6</v>
      </c>
      <c r="D535" s="1">
        <v>5760</v>
      </c>
      <c r="E535" s="13">
        <v>0</v>
      </c>
      <c r="F535" s="3">
        <v>5499.8</v>
      </c>
    </row>
    <row r="536" spans="1:6" x14ac:dyDescent="0.35">
      <c r="A536" s="1" t="s">
        <v>13</v>
      </c>
      <c r="B536" s="1" t="s">
        <v>56</v>
      </c>
      <c r="C536" s="1" t="s">
        <v>6</v>
      </c>
      <c r="D536" s="1">
        <v>5890</v>
      </c>
      <c r="E536" s="13">
        <v>0</v>
      </c>
      <c r="F536" s="3">
        <v>5630</v>
      </c>
    </row>
    <row r="537" spans="1:6" x14ac:dyDescent="0.35">
      <c r="A537" s="1" t="s">
        <v>14</v>
      </c>
      <c r="B537" s="1" t="s">
        <v>56</v>
      </c>
      <c r="C537" s="1" t="s">
        <v>6</v>
      </c>
      <c r="D537" s="1">
        <v>6020</v>
      </c>
      <c r="E537" s="13">
        <v>0</v>
      </c>
      <c r="F537" s="3">
        <v>5760</v>
      </c>
    </row>
    <row r="538" spans="1:6" x14ac:dyDescent="0.35">
      <c r="A538" s="1" t="s">
        <v>15</v>
      </c>
      <c r="B538" s="1" t="s">
        <v>56</v>
      </c>
      <c r="C538" s="1" t="s">
        <v>6</v>
      </c>
      <c r="D538" s="1">
        <v>6150</v>
      </c>
      <c r="E538" s="13">
        <v>0</v>
      </c>
      <c r="F538" s="3">
        <v>5890</v>
      </c>
    </row>
    <row r="539" spans="1:6" x14ac:dyDescent="0.35">
      <c r="A539" s="1" t="s">
        <v>16</v>
      </c>
      <c r="B539" s="1" t="s">
        <v>56</v>
      </c>
      <c r="C539" s="1" t="s">
        <v>6</v>
      </c>
      <c r="D539" s="1">
        <v>6280</v>
      </c>
      <c r="E539" s="13">
        <v>0</v>
      </c>
      <c r="F539" s="3">
        <v>6020</v>
      </c>
    </row>
    <row r="540" spans="1:6" x14ac:dyDescent="0.35">
      <c r="A540" s="1" t="s">
        <v>17</v>
      </c>
      <c r="B540" s="1" t="s">
        <v>56</v>
      </c>
      <c r="C540" s="1" t="s">
        <v>6</v>
      </c>
      <c r="D540" s="1">
        <v>6410</v>
      </c>
      <c r="E540" s="13">
        <v>0</v>
      </c>
      <c r="F540" s="3">
        <v>6150</v>
      </c>
    </row>
    <row r="541" spans="1:6" x14ac:dyDescent="0.35">
      <c r="A541" s="1" t="s">
        <v>18</v>
      </c>
      <c r="B541" s="1" t="s">
        <v>56</v>
      </c>
      <c r="C541" s="1" t="s">
        <v>6</v>
      </c>
      <c r="D541" s="1">
        <v>6540</v>
      </c>
      <c r="E541" s="13">
        <v>0</v>
      </c>
      <c r="F541" s="3">
        <v>6280</v>
      </c>
    </row>
    <row r="542" spans="1:6" x14ac:dyDescent="0.35">
      <c r="A542" s="1" t="s">
        <v>19</v>
      </c>
      <c r="B542" s="1" t="s">
        <v>56</v>
      </c>
      <c r="C542" s="1" t="s">
        <v>6</v>
      </c>
      <c r="D542" s="1">
        <v>6670</v>
      </c>
      <c r="E542" s="13">
        <v>0</v>
      </c>
      <c r="F542" s="3">
        <v>6410</v>
      </c>
    </row>
    <row r="543" spans="1:6" x14ac:dyDescent="0.35">
      <c r="A543" s="1" t="s">
        <v>20</v>
      </c>
      <c r="B543" s="1" t="s">
        <v>56</v>
      </c>
      <c r="C543" s="1" t="s">
        <v>6</v>
      </c>
      <c r="D543" s="1">
        <v>6800</v>
      </c>
      <c r="E543" s="13">
        <v>0</v>
      </c>
      <c r="F543" s="3">
        <v>6540</v>
      </c>
    </row>
    <row r="544" spans="1:6" x14ac:dyDescent="0.35">
      <c r="A544" s="1" t="s">
        <v>21</v>
      </c>
      <c r="B544" s="1" t="s">
        <v>56</v>
      </c>
      <c r="C544" s="1" t="s">
        <v>6</v>
      </c>
      <c r="D544" s="1">
        <v>6930</v>
      </c>
      <c r="E544" s="13">
        <v>0</v>
      </c>
      <c r="F544" s="3">
        <v>6670</v>
      </c>
    </row>
    <row r="545" spans="1:6" x14ac:dyDescent="0.35">
      <c r="A545" s="1" t="s">
        <v>22</v>
      </c>
      <c r="B545" s="1" t="s">
        <v>56</v>
      </c>
      <c r="C545" s="1" t="s">
        <v>6</v>
      </c>
      <c r="D545" s="1">
        <v>7060</v>
      </c>
      <c r="E545" s="13">
        <v>0</v>
      </c>
      <c r="F545" s="3">
        <v>6800</v>
      </c>
    </row>
    <row r="546" spans="1:6" x14ac:dyDescent="0.35">
      <c r="A546" s="1" t="s">
        <v>23</v>
      </c>
      <c r="B546" s="1" t="s">
        <v>56</v>
      </c>
      <c r="C546" s="1" t="s">
        <v>6</v>
      </c>
      <c r="D546" s="1">
        <v>7190</v>
      </c>
      <c r="E546" s="13">
        <v>0</v>
      </c>
      <c r="F546" s="3">
        <v>6930</v>
      </c>
    </row>
    <row r="547" spans="1:6" x14ac:dyDescent="0.35">
      <c r="A547" s="1" t="s">
        <v>24</v>
      </c>
      <c r="B547" s="1" t="s">
        <v>56</v>
      </c>
      <c r="C547" s="1" t="s">
        <v>6</v>
      </c>
      <c r="D547" s="1">
        <v>7320</v>
      </c>
      <c r="E547" s="13">
        <v>0</v>
      </c>
      <c r="F547" s="3">
        <v>7060</v>
      </c>
    </row>
    <row r="548" spans="1:6" x14ac:dyDescent="0.35">
      <c r="A548" s="1" t="s">
        <v>25</v>
      </c>
      <c r="B548" s="1" t="s">
        <v>56</v>
      </c>
      <c r="C548" s="1" t="s">
        <v>6</v>
      </c>
      <c r="D548" s="1">
        <v>7450</v>
      </c>
      <c r="E548" s="13">
        <v>0</v>
      </c>
      <c r="F548" s="3">
        <v>7190</v>
      </c>
    </row>
    <row r="549" spans="1:6" x14ac:dyDescent="0.35">
      <c r="A549" s="1" t="s">
        <v>26</v>
      </c>
      <c r="B549" s="1" t="s">
        <v>56</v>
      </c>
      <c r="C549" s="1" t="s">
        <v>6</v>
      </c>
      <c r="D549" s="1">
        <v>7580</v>
      </c>
      <c r="E549" s="13">
        <v>0</v>
      </c>
      <c r="F549" s="3">
        <v>7320</v>
      </c>
    </row>
    <row r="550" spans="1:6" x14ac:dyDescent="0.35">
      <c r="A550" s="1" t="s">
        <v>27</v>
      </c>
      <c r="B550" s="1" t="s">
        <v>56</v>
      </c>
      <c r="C550" s="1" t="s">
        <v>6</v>
      </c>
      <c r="D550" s="1">
        <v>7710</v>
      </c>
      <c r="E550" s="13">
        <v>0</v>
      </c>
      <c r="F550" s="3">
        <v>7450</v>
      </c>
    </row>
    <row r="551" spans="1:6" x14ac:dyDescent="0.35">
      <c r="A551" s="1" t="s">
        <v>28</v>
      </c>
      <c r="B551" s="1" t="s">
        <v>56</v>
      </c>
      <c r="C551" s="1" t="s">
        <v>6</v>
      </c>
      <c r="D551" s="1">
        <v>7840</v>
      </c>
      <c r="E551" s="13">
        <v>0</v>
      </c>
      <c r="F551" s="3">
        <v>7580</v>
      </c>
    </row>
    <row r="552" spans="1:6" x14ac:dyDescent="0.35">
      <c r="A552" s="1" t="s">
        <v>4</v>
      </c>
      <c r="B552" s="1" t="s">
        <v>57</v>
      </c>
      <c r="C552" s="1" t="s">
        <v>6</v>
      </c>
      <c r="D552" s="1">
        <v>4219</v>
      </c>
      <c r="E552" s="13">
        <v>1.3695188433278027</v>
      </c>
      <c r="F552" s="3">
        <v>6959.8</v>
      </c>
    </row>
    <row r="553" spans="1:6" x14ac:dyDescent="0.35">
      <c r="A553" s="1" t="s">
        <v>7</v>
      </c>
      <c r="B553" s="1" t="s">
        <v>57</v>
      </c>
      <c r="C553" s="1" t="s">
        <v>6</v>
      </c>
      <c r="D553" s="1">
        <v>4530</v>
      </c>
      <c r="E553" s="13">
        <v>0</v>
      </c>
      <c r="F553" s="3">
        <v>6375.8</v>
      </c>
    </row>
    <row r="554" spans="1:6" x14ac:dyDescent="0.35">
      <c r="A554" s="1" t="s">
        <v>8</v>
      </c>
      <c r="B554" s="1" t="s">
        <v>57</v>
      </c>
      <c r="C554" s="1" t="s">
        <v>6</v>
      </c>
      <c r="D554" s="1">
        <v>4799</v>
      </c>
      <c r="E554" s="13">
        <v>0</v>
      </c>
      <c r="F554" s="3">
        <v>5819.6</v>
      </c>
    </row>
    <row r="555" spans="1:6" x14ac:dyDescent="0.35">
      <c r="A555" s="1" t="s">
        <v>9</v>
      </c>
      <c r="B555" s="1" t="s">
        <v>57</v>
      </c>
      <c r="C555" s="1" t="s">
        <v>6</v>
      </c>
      <c r="D555" s="1">
        <v>5047</v>
      </c>
      <c r="E555" s="13">
        <v>0</v>
      </c>
      <c r="F555" s="3">
        <v>5287</v>
      </c>
    </row>
    <row r="556" spans="1:6" x14ac:dyDescent="0.35">
      <c r="A556" s="1" t="s">
        <v>10</v>
      </c>
      <c r="B556" s="1" t="s">
        <v>57</v>
      </c>
      <c r="C556" s="1" t="s">
        <v>6</v>
      </c>
      <c r="D556" s="1">
        <v>5290</v>
      </c>
      <c r="E556" s="13">
        <v>0</v>
      </c>
      <c r="F556" s="3">
        <v>4777</v>
      </c>
    </row>
    <row r="557" spans="1:6" x14ac:dyDescent="0.35">
      <c r="A557" s="1" t="s">
        <v>11</v>
      </c>
      <c r="B557" s="1" t="s">
        <v>57</v>
      </c>
      <c r="C557" s="1" t="s">
        <v>6</v>
      </c>
      <c r="D557" s="1">
        <v>5564</v>
      </c>
      <c r="E557" s="13">
        <v>0</v>
      </c>
      <c r="F557" s="3">
        <v>5046</v>
      </c>
    </row>
    <row r="558" spans="1:6" x14ac:dyDescent="0.35">
      <c r="A558" s="1" t="s">
        <v>12</v>
      </c>
      <c r="B558" s="1" t="s">
        <v>57</v>
      </c>
      <c r="C558" s="1" t="s">
        <v>6</v>
      </c>
      <c r="D558" s="1">
        <v>5823</v>
      </c>
      <c r="E558" s="13">
        <v>0</v>
      </c>
      <c r="F558" s="3">
        <v>5304.6</v>
      </c>
    </row>
    <row r="559" spans="1:6" x14ac:dyDescent="0.35">
      <c r="A559" s="1" t="s">
        <v>13</v>
      </c>
      <c r="B559" s="1" t="s">
        <v>57</v>
      </c>
      <c r="C559" s="1" t="s">
        <v>6</v>
      </c>
      <c r="D559" s="1">
        <v>6047</v>
      </c>
      <c r="E559" s="13">
        <v>0</v>
      </c>
      <c r="F559" s="3">
        <v>5554.2</v>
      </c>
    </row>
    <row r="560" spans="1:6" x14ac:dyDescent="0.35">
      <c r="A560" s="1" t="s">
        <v>14</v>
      </c>
      <c r="B560" s="1" t="s">
        <v>57</v>
      </c>
      <c r="C560" s="1" t="s">
        <v>6</v>
      </c>
      <c r="D560" s="1">
        <v>6350</v>
      </c>
      <c r="E560" s="13">
        <v>0</v>
      </c>
      <c r="F560" s="3">
        <v>5814.8</v>
      </c>
    </row>
    <row r="561" spans="1:6" x14ac:dyDescent="0.35">
      <c r="A561" s="1" t="s">
        <v>15</v>
      </c>
      <c r="B561" s="1" t="s">
        <v>57</v>
      </c>
      <c r="C561" s="1" t="s">
        <v>6</v>
      </c>
      <c r="D561" s="1">
        <v>6596</v>
      </c>
      <c r="E561" s="13">
        <v>0</v>
      </c>
      <c r="F561" s="3">
        <v>6076</v>
      </c>
    </row>
    <row r="562" spans="1:6" x14ac:dyDescent="0.35">
      <c r="A562" s="1" t="s">
        <v>16</v>
      </c>
      <c r="B562" s="1" t="s">
        <v>57</v>
      </c>
      <c r="C562" s="1" t="s">
        <v>6</v>
      </c>
      <c r="D562" s="1">
        <v>6847</v>
      </c>
      <c r="E562" s="13">
        <v>0</v>
      </c>
      <c r="F562" s="3">
        <v>6332.6</v>
      </c>
    </row>
    <row r="563" spans="1:6" x14ac:dyDescent="0.35">
      <c r="A563" s="1" t="s">
        <v>17</v>
      </c>
      <c r="B563" s="1" t="s">
        <v>57</v>
      </c>
      <c r="C563" s="1" t="s">
        <v>6</v>
      </c>
      <c r="D563" s="1">
        <v>7072</v>
      </c>
      <c r="E563" s="13">
        <v>0</v>
      </c>
      <c r="F563" s="3">
        <v>6582.4</v>
      </c>
    </row>
    <row r="564" spans="1:6" x14ac:dyDescent="0.35">
      <c r="A564" s="1" t="s">
        <v>18</v>
      </c>
      <c r="B564" s="1" t="s">
        <v>57</v>
      </c>
      <c r="C564" s="1" t="s">
        <v>6</v>
      </c>
      <c r="D564" s="1">
        <v>7312</v>
      </c>
      <c r="E564" s="13">
        <v>0</v>
      </c>
      <c r="F564" s="3">
        <v>6835.4</v>
      </c>
    </row>
    <row r="565" spans="1:6" x14ac:dyDescent="0.35">
      <c r="A565" s="1" t="s">
        <v>19</v>
      </c>
      <c r="B565" s="1" t="s">
        <v>57</v>
      </c>
      <c r="C565" s="1" t="s">
        <v>6</v>
      </c>
      <c r="D565" s="1">
        <v>7558</v>
      </c>
      <c r="E565" s="13">
        <v>0</v>
      </c>
      <c r="F565" s="3">
        <v>7077</v>
      </c>
    </row>
    <row r="566" spans="1:6" x14ac:dyDescent="0.35">
      <c r="A566" s="1" t="s">
        <v>20</v>
      </c>
      <c r="B566" s="1" t="s">
        <v>57</v>
      </c>
      <c r="C566" s="1" t="s">
        <v>6</v>
      </c>
      <c r="D566" s="1">
        <v>7809</v>
      </c>
      <c r="E566" s="13">
        <v>0</v>
      </c>
      <c r="F566" s="3">
        <v>7319.6</v>
      </c>
    </row>
    <row r="567" spans="1:6" x14ac:dyDescent="0.35">
      <c r="A567" s="1" t="s">
        <v>21</v>
      </c>
      <c r="B567" s="1" t="s">
        <v>57</v>
      </c>
      <c r="C567" s="1" t="s">
        <v>6</v>
      </c>
      <c r="D567" s="1">
        <v>8065</v>
      </c>
      <c r="E567" s="13">
        <v>0</v>
      </c>
      <c r="F567" s="3">
        <v>7563.2</v>
      </c>
    </row>
    <row r="568" spans="1:6" x14ac:dyDescent="0.35">
      <c r="A568" s="1" t="s">
        <v>22</v>
      </c>
      <c r="B568" s="1" t="s">
        <v>57</v>
      </c>
      <c r="C568" s="1" t="s">
        <v>6</v>
      </c>
      <c r="D568" s="1">
        <v>8326</v>
      </c>
      <c r="E568" s="13">
        <v>0</v>
      </c>
      <c r="F568" s="3">
        <v>7814</v>
      </c>
    </row>
    <row r="569" spans="1:6" x14ac:dyDescent="0.35">
      <c r="A569" s="1" t="s">
        <v>23</v>
      </c>
      <c r="B569" s="1" t="s">
        <v>57</v>
      </c>
      <c r="C569" s="1" t="s">
        <v>6</v>
      </c>
      <c r="D569" s="1">
        <v>8592</v>
      </c>
      <c r="E569" s="13">
        <v>0</v>
      </c>
      <c r="F569" s="3">
        <v>8070</v>
      </c>
    </row>
    <row r="570" spans="1:6" x14ac:dyDescent="0.35">
      <c r="A570" s="1" t="s">
        <v>24</v>
      </c>
      <c r="B570" s="1" t="s">
        <v>57</v>
      </c>
      <c r="C570" s="1" t="s">
        <v>6</v>
      </c>
      <c r="D570" s="1">
        <v>8863</v>
      </c>
      <c r="E570" s="13">
        <v>0</v>
      </c>
      <c r="F570" s="3">
        <v>8331</v>
      </c>
    </row>
    <row r="571" spans="1:6" x14ac:dyDescent="0.35">
      <c r="A571" s="1" t="s">
        <v>25</v>
      </c>
      <c r="B571" s="1" t="s">
        <v>57</v>
      </c>
      <c r="C571" s="1" t="s">
        <v>6</v>
      </c>
      <c r="D571" s="1">
        <v>9139</v>
      </c>
      <c r="E571" s="13">
        <v>0</v>
      </c>
      <c r="F571" s="3">
        <v>8597</v>
      </c>
    </row>
    <row r="572" spans="1:6" x14ac:dyDescent="0.35">
      <c r="A572" s="1" t="s">
        <v>26</v>
      </c>
      <c r="B572" s="1" t="s">
        <v>57</v>
      </c>
      <c r="C572" s="1" t="s">
        <v>6</v>
      </c>
      <c r="D572" s="1">
        <v>9420</v>
      </c>
      <c r="E572" s="13">
        <v>0</v>
      </c>
      <c r="F572" s="3">
        <v>8868</v>
      </c>
    </row>
    <row r="573" spans="1:6" x14ac:dyDescent="0.35">
      <c r="A573" s="1" t="s">
        <v>27</v>
      </c>
      <c r="B573" s="1" t="s">
        <v>57</v>
      </c>
      <c r="C573" s="1" t="s">
        <v>6</v>
      </c>
      <c r="D573" s="1">
        <v>9706</v>
      </c>
      <c r="E573" s="13">
        <v>0</v>
      </c>
      <c r="F573" s="3">
        <v>9144</v>
      </c>
    </row>
    <row r="574" spans="1:6" x14ac:dyDescent="0.35">
      <c r="A574" s="1" t="s">
        <v>28</v>
      </c>
      <c r="B574" s="1" t="s">
        <v>57</v>
      </c>
      <c r="C574" s="1" t="s">
        <v>6</v>
      </c>
      <c r="D574" s="1">
        <v>9997</v>
      </c>
      <c r="E574" s="13">
        <v>0</v>
      </c>
      <c r="F574" s="3">
        <v>9425</v>
      </c>
    </row>
    <row r="575" spans="1:6" x14ac:dyDescent="0.35">
      <c r="A575" s="1" t="s">
        <v>4</v>
      </c>
      <c r="B575" s="1" t="s">
        <v>58</v>
      </c>
      <c r="C575" s="1" t="s">
        <v>30</v>
      </c>
      <c r="D575" s="1">
        <v>163</v>
      </c>
      <c r="E575" s="13">
        <v>0.67484662576687116</v>
      </c>
      <c r="F575" s="3">
        <v>7685</v>
      </c>
    </row>
    <row r="576" spans="1:6" x14ac:dyDescent="0.35">
      <c r="A576" s="1" t="s">
        <v>7</v>
      </c>
      <c r="B576" s="1" t="s">
        <v>58</v>
      </c>
      <c r="C576" s="1" t="s">
        <v>30</v>
      </c>
      <c r="D576" s="1">
        <v>168</v>
      </c>
      <c r="E576" s="13">
        <v>0</v>
      </c>
      <c r="F576" s="3">
        <v>5890.8</v>
      </c>
    </row>
    <row r="577" spans="1:6" x14ac:dyDescent="0.35">
      <c r="A577" s="1" t="s">
        <v>8</v>
      </c>
      <c r="B577" s="1" t="s">
        <v>58</v>
      </c>
      <c r="C577" s="1" t="s">
        <v>30</v>
      </c>
      <c r="D577" s="1">
        <v>173</v>
      </c>
      <c r="E577" s="13">
        <v>0</v>
      </c>
      <c r="F577" s="3">
        <v>4041.4</v>
      </c>
    </row>
    <row r="578" spans="1:6" x14ac:dyDescent="0.35">
      <c r="A578" s="1" t="s">
        <v>9</v>
      </c>
      <c r="B578" s="1" t="s">
        <v>58</v>
      </c>
      <c r="C578" s="1" t="s">
        <v>30</v>
      </c>
      <c r="D578" s="1">
        <v>178</v>
      </c>
      <c r="E578" s="13">
        <v>0</v>
      </c>
      <c r="F578" s="3">
        <v>2135.8000000000002</v>
      </c>
    </row>
    <row r="579" spans="1:6" x14ac:dyDescent="0.35">
      <c r="A579" s="1" t="s">
        <v>10</v>
      </c>
      <c r="B579" s="1" t="s">
        <v>58</v>
      </c>
      <c r="C579" s="1" t="s">
        <v>30</v>
      </c>
      <c r="D579" s="1">
        <v>183</v>
      </c>
      <c r="E579" s="13">
        <v>0</v>
      </c>
      <c r="F579" s="3">
        <v>173</v>
      </c>
    </row>
    <row r="580" spans="1:6" x14ac:dyDescent="0.35">
      <c r="A580" s="1" t="s">
        <v>11</v>
      </c>
      <c r="B580" s="1" t="s">
        <v>58</v>
      </c>
      <c r="C580" s="1" t="s">
        <v>30</v>
      </c>
      <c r="D580" s="1">
        <v>188</v>
      </c>
      <c r="E580" s="13">
        <v>0</v>
      </c>
      <c r="F580" s="3">
        <v>178</v>
      </c>
    </row>
    <row r="581" spans="1:6" x14ac:dyDescent="0.35">
      <c r="A581" s="1" t="s">
        <v>12</v>
      </c>
      <c r="B581" s="1" t="s">
        <v>58</v>
      </c>
      <c r="C581" s="1" t="s">
        <v>30</v>
      </c>
      <c r="D581" s="1">
        <v>193</v>
      </c>
      <c r="E581" s="13">
        <v>0</v>
      </c>
      <c r="F581" s="3">
        <v>183</v>
      </c>
    </row>
    <row r="582" spans="1:6" x14ac:dyDescent="0.35">
      <c r="A582" s="1" t="s">
        <v>13</v>
      </c>
      <c r="B582" s="1" t="s">
        <v>58</v>
      </c>
      <c r="C582" s="1" t="s">
        <v>30</v>
      </c>
      <c r="D582" s="1">
        <v>198</v>
      </c>
      <c r="E582" s="13">
        <v>0</v>
      </c>
      <c r="F582" s="3">
        <v>188</v>
      </c>
    </row>
    <row r="583" spans="1:6" x14ac:dyDescent="0.35">
      <c r="A583" s="1" t="s">
        <v>14</v>
      </c>
      <c r="B583" s="1" t="s">
        <v>58</v>
      </c>
      <c r="C583" s="1" t="s">
        <v>30</v>
      </c>
      <c r="D583" s="1">
        <v>203</v>
      </c>
      <c r="E583" s="13">
        <v>0</v>
      </c>
      <c r="F583" s="3">
        <v>193</v>
      </c>
    </row>
    <row r="584" spans="1:6" x14ac:dyDescent="0.35">
      <c r="A584" s="1" t="s">
        <v>15</v>
      </c>
      <c r="B584" s="1" t="s">
        <v>58</v>
      </c>
      <c r="C584" s="1" t="s">
        <v>30</v>
      </c>
      <c r="D584" s="1">
        <v>208</v>
      </c>
      <c r="E584" s="13">
        <v>0</v>
      </c>
      <c r="F584" s="3">
        <v>198</v>
      </c>
    </row>
    <row r="585" spans="1:6" x14ac:dyDescent="0.35">
      <c r="A585" s="1" t="s">
        <v>16</v>
      </c>
      <c r="B585" s="1" t="s">
        <v>58</v>
      </c>
      <c r="C585" s="1" t="s">
        <v>30</v>
      </c>
      <c r="D585" s="1">
        <v>213</v>
      </c>
      <c r="E585" s="13">
        <v>0</v>
      </c>
      <c r="F585" s="3">
        <v>203</v>
      </c>
    </row>
    <row r="586" spans="1:6" x14ac:dyDescent="0.35">
      <c r="A586" s="1" t="s">
        <v>17</v>
      </c>
      <c r="B586" s="1" t="s">
        <v>58</v>
      </c>
      <c r="C586" s="1" t="s">
        <v>30</v>
      </c>
      <c r="D586" s="1">
        <v>218</v>
      </c>
      <c r="E586" s="13">
        <v>0</v>
      </c>
      <c r="F586" s="3">
        <v>208</v>
      </c>
    </row>
    <row r="587" spans="1:6" x14ac:dyDescent="0.35">
      <c r="A587" s="1" t="s">
        <v>18</v>
      </c>
      <c r="B587" s="1" t="s">
        <v>58</v>
      </c>
      <c r="C587" s="1" t="s">
        <v>30</v>
      </c>
      <c r="D587" s="1">
        <v>223</v>
      </c>
      <c r="E587" s="13">
        <v>0</v>
      </c>
      <c r="F587" s="3">
        <v>213</v>
      </c>
    </row>
    <row r="588" spans="1:6" x14ac:dyDescent="0.35">
      <c r="A588" s="1" t="s">
        <v>19</v>
      </c>
      <c r="B588" s="1" t="s">
        <v>58</v>
      </c>
      <c r="C588" s="1" t="s">
        <v>30</v>
      </c>
      <c r="D588" s="1">
        <v>228</v>
      </c>
      <c r="E588" s="13">
        <v>0</v>
      </c>
      <c r="F588" s="3">
        <v>218</v>
      </c>
    </row>
    <row r="589" spans="1:6" x14ac:dyDescent="0.35">
      <c r="A589" s="1" t="s">
        <v>20</v>
      </c>
      <c r="B589" s="1" t="s">
        <v>58</v>
      </c>
      <c r="C589" s="1" t="s">
        <v>30</v>
      </c>
      <c r="D589" s="1">
        <v>233</v>
      </c>
      <c r="E589" s="13">
        <v>0</v>
      </c>
      <c r="F589" s="3">
        <v>223</v>
      </c>
    </row>
    <row r="590" spans="1:6" x14ac:dyDescent="0.35">
      <c r="A590" s="1" t="s">
        <v>21</v>
      </c>
      <c r="B590" s="1" t="s">
        <v>58</v>
      </c>
      <c r="C590" s="1" t="s">
        <v>30</v>
      </c>
      <c r="D590" s="1">
        <v>238</v>
      </c>
      <c r="E590" s="13">
        <v>0</v>
      </c>
      <c r="F590" s="3">
        <v>228</v>
      </c>
    </row>
    <row r="591" spans="1:6" x14ac:dyDescent="0.35">
      <c r="A591" s="1" t="s">
        <v>22</v>
      </c>
      <c r="B591" s="1" t="s">
        <v>58</v>
      </c>
      <c r="C591" s="1" t="s">
        <v>30</v>
      </c>
      <c r="D591" s="1">
        <v>243</v>
      </c>
      <c r="E591" s="13">
        <v>0</v>
      </c>
      <c r="F591" s="3">
        <v>233</v>
      </c>
    </row>
    <row r="592" spans="1:6" x14ac:dyDescent="0.35">
      <c r="A592" s="1" t="s">
        <v>23</v>
      </c>
      <c r="B592" s="1" t="s">
        <v>58</v>
      </c>
      <c r="C592" s="1" t="s">
        <v>30</v>
      </c>
      <c r="D592" s="1">
        <v>248</v>
      </c>
      <c r="E592" s="13">
        <v>0</v>
      </c>
      <c r="F592" s="3">
        <v>238</v>
      </c>
    </row>
    <row r="593" spans="1:6" x14ac:dyDescent="0.35">
      <c r="A593" s="1" t="s">
        <v>24</v>
      </c>
      <c r="B593" s="1" t="s">
        <v>58</v>
      </c>
      <c r="C593" s="1" t="s">
        <v>30</v>
      </c>
      <c r="D593" s="1">
        <v>253</v>
      </c>
      <c r="E593" s="13">
        <v>0</v>
      </c>
      <c r="F593" s="3">
        <v>243</v>
      </c>
    </row>
    <row r="594" spans="1:6" x14ac:dyDescent="0.35">
      <c r="A594" s="1" t="s">
        <v>25</v>
      </c>
      <c r="B594" s="1" t="s">
        <v>58</v>
      </c>
      <c r="C594" s="1" t="s">
        <v>30</v>
      </c>
      <c r="D594" s="1">
        <v>258</v>
      </c>
      <c r="E594" s="13">
        <v>0</v>
      </c>
      <c r="F594" s="3">
        <v>248</v>
      </c>
    </row>
    <row r="595" spans="1:6" x14ac:dyDescent="0.35">
      <c r="A595" s="1" t="s">
        <v>26</v>
      </c>
      <c r="B595" s="1" t="s">
        <v>58</v>
      </c>
      <c r="C595" s="1" t="s">
        <v>30</v>
      </c>
      <c r="D595" s="1">
        <v>263</v>
      </c>
      <c r="E595" s="13">
        <v>0</v>
      </c>
      <c r="F595" s="3">
        <v>253</v>
      </c>
    </row>
    <row r="596" spans="1:6" x14ac:dyDescent="0.35">
      <c r="A596" s="1" t="s">
        <v>27</v>
      </c>
      <c r="B596" s="1" t="s">
        <v>58</v>
      </c>
      <c r="C596" s="1" t="s">
        <v>30</v>
      </c>
      <c r="D596" s="1">
        <v>268</v>
      </c>
      <c r="E596" s="13">
        <v>0</v>
      </c>
      <c r="F596" s="3">
        <v>258</v>
      </c>
    </row>
    <row r="597" spans="1:6" x14ac:dyDescent="0.35">
      <c r="A597" s="1" t="s">
        <v>28</v>
      </c>
      <c r="B597" s="1" t="s">
        <v>58</v>
      </c>
      <c r="C597" s="1" t="s">
        <v>30</v>
      </c>
      <c r="D597" s="1">
        <v>273</v>
      </c>
      <c r="E597" s="13">
        <v>0</v>
      </c>
      <c r="F597" s="3">
        <v>263</v>
      </c>
    </row>
    <row r="598" spans="1:6" x14ac:dyDescent="0.35">
      <c r="A598" s="1" t="s">
        <v>4</v>
      </c>
      <c r="B598" s="1" t="s">
        <v>59</v>
      </c>
      <c r="C598" s="1" t="s">
        <v>40</v>
      </c>
      <c r="D598" s="1">
        <v>14765</v>
      </c>
      <c r="E598" s="13">
        <v>0.73457500846596679</v>
      </c>
      <c r="F598" s="3">
        <v>3165.4</v>
      </c>
    </row>
    <row r="599" spans="1:6" x14ac:dyDescent="0.35">
      <c r="A599" s="1" t="s">
        <v>7</v>
      </c>
      <c r="B599" s="1" t="s">
        <v>59</v>
      </c>
      <c r="C599" s="1" t="s">
        <v>40</v>
      </c>
      <c r="D599" s="1">
        <v>15258</v>
      </c>
      <c r="E599" s="13">
        <v>0</v>
      </c>
      <c r="F599" s="3">
        <v>6165.4</v>
      </c>
    </row>
    <row r="600" spans="1:6" x14ac:dyDescent="0.35">
      <c r="A600" s="1" t="s">
        <v>8</v>
      </c>
      <c r="B600" s="1" t="s">
        <v>59</v>
      </c>
      <c r="C600" s="1" t="s">
        <v>40</v>
      </c>
      <c r="D600" s="1">
        <v>15751</v>
      </c>
      <c r="E600" s="13">
        <v>0</v>
      </c>
      <c r="F600" s="3">
        <v>9263</v>
      </c>
    </row>
    <row r="601" spans="1:6" x14ac:dyDescent="0.35">
      <c r="A601" s="1" t="s">
        <v>9</v>
      </c>
      <c r="B601" s="1" t="s">
        <v>59</v>
      </c>
      <c r="C601" s="1" t="s">
        <v>40</v>
      </c>
      <c r="D601" s="1">
        <v>16244</v>
      </c>
      <c r="E601" s="13">
        <v>0</v>
      </c>
      <c r="F601" s="3">
        <v>12458.2</v>
      </c>
    </row>
    <row r="602" spans="1:6" x14ac:dyDescent="0.35">
      <c r="A602" s="1" t="s">
        <v>10</v>
      </c>
      <c r="B602" s="1" t="s">
        <v>59</v>
      </c>
      <c r="C602" s="1" t="s">
        <v>40</v>
      </c>
      <c r="D602" s="1">
        <v>16737</v>
      </c>
      <c r="E602" s="13">
        <v>0</v>
      </c>
      <c r="F602" s="3">
        <v>15751</v>
      </c>
    </row>
    <row r="603" spans="1:6" x14ac:dyDescent="0.35">
      <c r="A603" s="1" t="s">
        <v>11</v>
      </c>
      <c r="B603" s="1" t="s">
        <v>59</v>
      </c>
      <c r="C603" s="1" t="s">
        <v>40</v>
      </c>
      <c r="D603" s="1">
        <v>17230</v>
      </c>
      <c r="E603" s="13">
        <v>0</v>
      </c>
      <c r="F603" s="3">
        <v>16244</v>
      </c>
    </row>
    <row r="604" spans="1:6" x14ac:dyDescent="0.35">
      <c r="A604" s="1" t="s">
        <v>12</v>
      </c>
      <c r="B604" s="1" t="s">
        <v>59</v>
      </c>
      <c r="C604" s="1" t="s">
        <v>40</v>
      </c>
      <c r="D604" s="1">
        <v>17723</v>
      </c>
      <c r="E604" s="13">
        <v>0</v>
      </c>
      <c r="F604" s="3">
        <v>16737</v>
      </c>
    </row>
    <row r="605" spans="1:6" x14ac:dyDescent="0.35">
      <c r="A605" s="1" t="s">
        <v>13</v>
      </c>
      <c r="B605" s="1" t="s">
        <v>59</v>
      </c>
      <c r="C605" s="1" t="s">
        <v>40</v>
      </c>
      <c r="D605" s="1">
        <v>18216</v>
      </c>
      <c r="E605" s="13">
        <v>0</v>
      </c>
      <c r="F605" s="3">
        <v>17230</v>
      </c>
    </row>
    <row r="606" spans="1:6" x14ac:dyDescent="0.35">
      <c r="A606" s="1" t="s">
        <v>14</v>
      </c>
      <c r="B606" s="1" t="s">
        <v>59</v>
      </c>
      <c r="C606" s="1" t="s">
        <v>40</v>
      </c>
      <c r="D606" s="1">
        <v>18709</v>
      </c>
      <c r="E606" s="13">
        <v>0</v>
      </c>
      <c r="F606" s="3">
        <v>17723</v>
      </c>
    </row>
    <row r="607" spans="1:6" x14ac:dyDescent="0.35">
      <c r="A607" s="1" t="s">
        <v>15</v>
      </c>
      <c r="B607" s="1" t="s">
        <v>59</v>
      </c>
      <c r="C607" s="1" t="s">
        <v>40</v>
      </c>
      <c r="D607" s="1">
        <v>19202</v>
      </c>
      <c r="E607" s="13">
        <v>0</v>
      </c>
      <c r="F607" s="3">
        <v>18216</v>
      </c>
    </row>
    <row r="608" spans="1:6" x14ac:dyDescent="0.35">
      <c r="A608" s="1" t="s">
        <v>16</v>
      </c>
      <c r="B608" s="1" t="s">
        <v>59</v>
      </c>
      <c r="C608" s="1" t="s">
        <v>40</v>
      </c>
      <c r="D608" s="1">
        <v>19695</v>
      </c>
      <c r="E608" s="13">
        <v>0</v>
      </c>
      <c r="F608" s="3">
        <v>18709</v>
      </c>
    </row>
    <row r="609" spans="1:6" x14ac:dyDescent="0.35">
      <c r="A609" s="1" t="s">
        <v>17</v>
      </c>
      <c r="B609" s="1" t="s">
        <v>59</v>
      </c>
      <c r="C609" s="1" t="s">
        <v>40</v>
      </c>
      <c r="D609" s="1">
        <v>20188</v>
      </c>
      <c r="E609" s="13">
        <v>0</v>
      </c>
      <c r="F609" s="3">
        <v>19202</v>
      </c>
    </row>
    <row r="610" spans="1:6" x14ac:dyDescent="0.35">
      <c r="A610" s="1" t="s">
        <v>18</v>
      </c>
      <c r="B610" s="1" t="s">
        <v>59</v>
      </c>
      <c r="C610" s="1" t="s">
        <v>40</v>
      </c>
      <c r="D610" s="1">
        <v>20681</v>
      </c>
      <c r="E610" s="13">
        <v>0</v>
      </c>
      <c r="F610" s="3">
        <v>19695</v>
      </c>
    </row>
    <row r="611" spans="1:6" x14ac:dyDescent="0.35">
      <c r="A611" s="1" t="s">
        <v>19</v>
      </c>
      <c r="B611" s="1" t="s">
        <v>59</v>
      </c>
      <c r="C611" s="1" t="s">
        <v>40</v>
      </c>
      <c r="D611" s="1">
        <v>21174</v>
      </c>
      <c r="E611" s="13">
        <v>0</v>
      </c>
      <c r="F611" s="3">
        <v>20188</v>
      </c>
    </row>
    <row r="612" spans="1:6" x14ac:dyDescent="0.35">
      <c r="A612" s="1" t="s">
        <v>20</v>
      </c>
      <c r="B612" s="1" t="s">
        <v>59</v>
      </c>
      <c r="C612" s="1" t="s">
        <v>40</v>
      </c>
      <c r="D612" s="1">
        <v>21667</v>
      </c>
      <c r="E612" s="13">
        <v>0</v>
      </c>
      <c r="F612" s="3">
        <v>20681</v>
      </c>
    </row>
    <row r="613" spans="1:6" x14ac:dyDescent="0.35">
      <c r="A613" s="1" t="s">
        <v>21</v>
      </c>
      <c r="B613" s="1" t="s">
        <v>59</v>
      </c>
      <c r="C613" s="1" t="s">
        <v>40</v>
      </c>
      <c r="D613" s="1">
        <v>22160</v>
      </c>
      <c r="E613" s="13">
        <v>0</v>
      </c>
      <c r="F613" s="3">
        <v>21174</v>
      </c>
    </row>
    <row r="614" spans="1:6" x14ac:dyDescent="0.35">
      <c r="A614" s="1" t="s">
        <v>22</v>
      </c>
      <c r="B614" s="1" t="s">
        <v>59</v>
      </c>
      <c r="C614" s="1" t="s">
        <v>40</v>
      </c>
      <c r="D614" s="1">
        <v>22653</v>
      </c>
      <c r="E614" s="13">
        <v>0</v>
      </c>
      <c r="F614" s="3">
        <v>21667</v>
      </c>
    </row>
    <row r="615" spans="1:6" x14ac:dyDescent="0.35">
      <c r="A615" s="1" t="s">
        <v>23</v>
      </c>
      <c r="B615" s="1" t="s">
        <v>59</v>
      </c>
      <c r="C615" s="1" t="s">
        <v>40</v>
      </c>
      <c r="D615" s="1">
        <v>23146</v>
      </c>
      <c r="E615" s="13">
        <v>0</v>
      </c>
      <c r="F615" s="3">
        <v>22160</v>
      </c>
    </row>
    <row r="616" spans="1:6" x14ac:dyDescent="0.35">
      <c r="A616" s="1" t="s">
        <v>24</v>
      </c>
      <c r="B616" s="1" t="s">
        <v>59</v>
      </c>
      <c r="C616" s="1" t="s">
        <v>40</v>
      </c>
      <c r="D616" s="1">
        <v>23639</v>
      </c>
      <c r="E616" s="13">
        <v>0</v>
      </c>
      <c r="F616" s="3">
        <v>22653</v>
      </c>
    </row>
    <row r="617" spans="1:6" x14ac:dyDescent="0.35">
      <c r="A617" s="1" t="s">
        <v>25</v>
      </c>
      <c r="B617" s="1" t="s">
        <v>59</v>
      </c>
      <c r="C617" s="1" t="s">
        <v>40</v>
      </c>
      <c r="D617" s="1">
        <v>24132</v>
      </c>
      <c r="E617" s="13">
        <v>0</v>
      </c>
      <c r="F617" s="3">
        <v>23146</v>
      </c>
    </row>
    <row r="618" spans="1:6" x14ac:dyDescent="0.35">
      <c r="A618" s="1" t="s">
        <v>26</v>
      </c>
      <c r="B618" s="1" t="s">
        <v>59</v>
      </c>
      <c r="C618" s="1" t="s">
        <v>40</v>
      </c>
      <c r="D618" s="1">
        <v>24625</v>
      </c>
      <c r="E618" s="13">
        <v>0</v>
      </c>
      <c r="F618" s="3">
        <v>23639</v>
      </c>
    </row>
    <row r="619" spans="1:6" x14ac:dyDescent="0.35">
      <c r="A619" s="1" t="s">
        <v>27</v>
      </c>
      <c r="B619" s="1" t="s">
        <v>59</v>
      </c>
      <c r="C619" s="1" t="s">
        <v>40</v>
      </c>
      <c r="D619" s="1">
        <v>25118</v>
      </c>
      <c r="E619" s="13">
        <v>0</v>
      </c>
      <c r="F619" s="3">
        <v>24132</v>
      </c>
    </row>
    <row r="620" spans="1:6" x14ac:dyDescent="0.35">
      <c r="A620" s="1" t="s">
        <v>28</v>
      </c>
      <c r="B620" s="1" t="s">
        <v>59</v>
      </c>
      <c r="C620" s="1" t="s">
        <v>40</v>
      </c>
      <c r="D620" s="1">
        <v>25611</v>
      </c>
      <c r="E620" s="13">
        <v>0</v>
      </c>
      <c r="F620" s="3">
        <v>24625</v>
      </c>
    </row>
    <row r="621" spans="1:6" x14ac:dyDescent="0.35">
      <c r="A621" s="1" t="s">
        <v>4</v>
      </c>
      <c r="B621" s="1" t="s">
        <v>60</v>
      </c>
      <c r="C621" s="1" t="s">
        <v>40</v>
      </c>
      <c r="D621" s="1">
        <v>1215</v>
      </c>
      <c r="E621" s="13">
        <v>0.54320987654320985</v>
      </c>
      <c r="F621" s="3">
        <v>20140.2</v>
      </c>
    </row>
    <row r="622" spans="1:6" x14ac:dyDescent="0.35">
      <c r="A622" s="1" t="s">
        <v>7</v>
      </c>
      <c r="B622" s="1" t="s">
        <v>60</v>
      </c>
      <c r="C622" s="1" t="s">
        <v>40</v>
      </c>
      <c r="D622" s="1">
        <v>1245</v>
      </c>
      <c r="E622" s="13">
        <v>0</v>
      </c>
      <c r="F622" s="3">
        <v>15562.8</v>
      </c>
    </row>
    <row r="623" spans="1:6" x14ac:dyDescent="0.35">
      <c r="A623" s="1" t="s">
        <v>8</v>
      </c>
      <c r="B623" s="1" t="s">
        <v>60</v>
      </c>
      <c r="C623" s="1" t="s">
        <v>40</v>
      </c>
      <c r="D623" s="1">
        <v>1275</v>
      </c>
      <c r="E623" s="13">
        <v>0</v>
      </c>
      <c r="F623" s="3">
        <v>10892.8</v>
      </c>
    </row>
    <row r="624" spans="1:6" x14ac:dyDescent="0.35">
      <c r="A624" s="1" t="s">
        <v>9</v>
      </c>
      <c r="B624" s="1" t="s">
        <v>60</v>
      </c>
      <c r="C624" s="1" t="s">
        <v>40</v>
      </c>
      <c r="D624" s="1">
        <v>1305</v>
      </c>
      <c r="E624" s="13">
        <v>0</v>
      </c>
      <c r="F624" s="3">
        <v>6130.2</v>
      </c>
    </row>
    <row r="625" spans="1:6" x14ac:dyDescent="0.35">
      <c r="A625" s="1" t="s">
        <v>10</v>
      </c>
      <c r="B625" s="1" t="s">
        <v>60</v>
      </c>
      <c r="C625" s="1" t="s">
        <v>40</v>
      </c>
      <c r="D625" s="1">
        <v>1335</v>
      </c>
      <c r="E625" s="13">
        <v>0</v>
      </c>
      <c r="F625" s="3">
        <v>1275</v>
      </c>
    </row>
    <row r="626" spans="1:6" x14ac:dyDescent="0.35">
      <c r="A626" s="1" t="s">
        <v>11</v>
      </c>
      <c r="B626" s="1" t="s">
        <v>60</v>
      </c>
      <c r="C626" s="1" t="s">
        <v>40</v>
      </c>
      <c r="D626" s="1">
        <v>1365</v>
      </c>
      <c r="E626" s="13">
        <v>0</v>
      </c>
      <c r="F626" s="3">
        <v>1305</v>
      </c>
    </row>
    <row r="627" spans="1:6" x14ac:dyDescent="0.35">
      <c r="A627" s="1" t="s">
        <v>12</v>
      </c>
      <c r="B627" s="1" t="s">
        <v>60</v>
      </c>
      <c r="C627" s="1" t="s">
        <v>40</v>
      </c>
      <c r="D627" s="1">
        <v>1395</v>
      </c>
      <c r="E627" s="13">
        <v>0</v>
      </c>
      <c r="F627" s="3">
        <v>1335</v>
      </c>
    </row>
    <row r="628" spans="1:6" x14ac:dyDescent="0.35">
      <c r="A628" s="1" t="s">
        <v>13</v>
      </c>
      <c r="B628" s="1" t="s">
        <v>60</v>
      </c>
      <c r="C628" s="1" t="s">
        <v>40</v>
      </c>
      <c r="D628" s="1">
        <v>1425</v>
      </c>
      <c r="E628" s="13">
        <v>0</v>
      </c>
      <c r="F628" s="3">
        <v>1365</v>
      </c>
    </row>
    <row r="629" spans="1:6" x14ac:dyDescent="0.35">
      <c r="A629" s="1" t="s">
        <v>14</v>
      </c>
      <c r="B629" s="1" t="s">
        <v>60</v>
      </c>
      <c r="C629" s="1" t="s">
        <v>40</v>
      </c>
      <c r="D629" s="1">
        <v>1455</v>
      </c>
      <c r="E629" s="13">
        <v>0</v>
      </c>
      <c r="F629" s="3">
        <v>1395</v>
      </c>
    </row>
    <row r="630" spans="1:6" x14ac:dyDescent="0.35">
      <c r="A630" s="1" t="s">
        <v>15</v>
      </c>
      <c r="B630" s="1" t="s">
        <v>60</v>
      </c>
      <c r="C630" s="1" t="s">
        <v>40</v>
      </c>
      <c r="D630" s="1">
        <v>1485</v>
      </c>
      <c r="E630" s="13">
        <v>0</v>
      </c>
      <c r="F630" s="3">
        <v>1425</v>
      </c>
    </row>
    <row r="631" spans="1:6" x14ac:dyDescent="0.35">
      <c r="A631" s="1" t="s">
        <v>16</v>
      </c>
      <c r="B631" s="1" t="s">
        <v>60</v>
      </c>
      <c r="C631" s="1" t="s">
        <v>40</v>
      </c>
      <c r="D631" s="1">
        <v>1515</v>
      </c>
      <c r="E631" s="13">
        <v>0</v>
      </c>
      <c r="F631" s="3">
        <v>1455</v>
      </c>
    </row>
    <row r="632" spans="1:6" x14ac:dyDescent="0.35">
      <c r="A632" s="1" t="s">
        <v>17</v>
      </c>
      <c r="B632" s="1" t="s">
        <v>60</v>
      </c>
      <c r="C632" s="1" t="s">
        <v>40</v>
      </c>
      <c r="D632" s="1">
        <v>1545</v>
      </c>
      <c r="E632" s="13">
        <v>0</v>
      </c>
      <c r="F632" s="3">
        <v>1485</v>
      </c>
    </row>
    <row r="633" spans="1:6" x14ac:dyDescent="0.35">
      <c r="A633" s="1" t="s">
        <v>18</v>
      </c>
      <c r="B633" s="1" t="s">
        <v>60</v>
      </c>
      <c r="C633" s="1" t="s">
        <v>40</v>
      </c>
      <c r="D633" s="1">
        <v>1575</v>
      </c>
      <c r="E633" s="13">
        <v>0</v>
      </c>
      <c r="F633" s="3">
        <v>1515</v>
      </c>
    </row>
    <row r="634" spans="1:6" x14ac:dyDescent="0.35">
      <c r="A634" s="1" t="s">
        <v>19</v>
      </c>
      <c r="B634" s="1" t="s">
        <v>60</v>
      </c>
      <c r="C634" s="1" t="s">
        <v>40</v>
      </c>
      <c r="D634" s="1">
        <v>1605</v>
      </c>
      <c r="E634" s="13">
        <v>0</v>
      </c>
      <c r="F634" s="3">
        <v>1545</v>
      </c>
    </row>
    <row r="635" spans="1:6" x14ac:dyDescent="0.35">
      <c r="A635" s="1" t="s">
        <v>20</v>
      </c>
      <c r="B635" s="1" t="s">
        <v>60</v>
      </c>
      <c r="C635" s="1" t="s">
        <v>40</v>
      </c>
      <c r="D635" s="1">
        <v>1635</v>
      </c>
      <c r="E635" s="13">
        <v>0</v>
      </c>
      <c r="F635" s="3">
        <v>1575</v>
      </c>
    </row>
    <row r="636" spans="1:6" x14ac:dyDescent="0.35">
      <c r="A636" s="1" t="s">
        <v>21</v>
      </c>
      <c r="B636" s="1" t="s">
        <v>60</v>
      </c>
      <c r="C636" s="1" t="s">
        <v>40</v>
      </c>
      <c r="D636" s="1">
        <v>1665</v>
      </c>
      <c r="E636" s="13">
        <v>0</v>
      </c>
      <c r="F636" s="3">
        <v>1605</v>
      </c>
    </row>
    <row r="637" spans="1:6" x14ac:dyDescent="0.35">
      <c r="A637" s="1" t="s">
        <v>22</v>
      </c>
      <c r="B637" s="1" t="s">
        <v>60</v>
      </c>
      <c r="C637" s="1" t="s">
        <v>40</v>
      </c>
      <c r="D637" s="1">
        <v>1695</v>
      </c>
      <c r="E637" s="13">
        <v>0</v>
      </c>
      <c r="F637" s="3">
        <v>1635</v>
      </c>
    </row>
    <row r="638" spans="1:6" x14ac:dyDescent="0.35">
      <c r="A638" s="1" t="s">
        <v>23</v>
      </c>
      <c r="B638" s="1" t="s">
        <v>60</v>
      </c>
      <c r="C638" s="1" t="s">
        <v>40</v>
      </c>
      <c r="D638" s="1">
        <v>1725</v>
      </c>
      <c r="E638" s="13">
        <v>0</v>
      </c>
      <c r="F638" s="3">
        <v>1665</v>
      </c>
    </row>
    <row r="639" spans="1:6" x14ac:dyDescent="0.35">
      <c r="A639" s="1" t="s">
        <v>24</v>
      </c>
      <c r="B639" s="1" t="s">
        <v>60</v>
      </c>
      <c r="C639" s="1" t="s">
        <v>40</v>
      </c>
      <c r="D639" s="1">
        <v>1755</v>
      </c>
      <c r="E639" s="13">
        <v>0</v>
      </c>
      <c r="F639" s="3">
        <v>1695</v>
      </c>
    </row>
    <row r="640" spans="1:6" x14ac:dyDescent="0.35">
      <c r="A640" s="1" t="s">
        <v>25</v>
      </c>
      <c r="B640" s="1" t="s">
        <v>60</v>
      </c>
      <c r="C640" s="1" t="s">
        <v>40</v>
      </c>
      <c r="D640" s="1">
        <v>1785</v>
      </c>
      <c r="E640" s="13">
        <v>0</v>
      </c>
      <c r="F640" s="3">
        <v>1725</v>
      </c>
    </row>
    <row r="641" spans="1:6" x14ac:dyDescent="0.35">
      <c r="A641" s="1" t="s">
        <v>26</v>
      </c>
      <c r="B641" s="1" t="s">
        <v>60</v>
      </c>
      <c r="C641" s="1" t="s">
        <v>40</v>
      </c>
      <c r="D641" s="1">
        <v>1815</v>
      </c>
      <c r="E641" s="13">
        <v>0</v>
      </c>
      <c r="F641" s="3">
        <v>1755</v>
      </c>
    </row>
    <row r="642" spans="1:6" x14ac:dyDescent="0.35">
      <c r="A642" s="1" t="s">
        <v>27</v>
      </c>
      <c r="B642" s="1" t="s">
        <v>60</v>
      </c>
      <c r="C642" s="1" t="s">
        <v>40</v>
      </c>
      <c r="D642" s="1">
        <v>1845</v>
      </c>
      <c r="E642" s="13">
        <v>0</v>
      </c>
      <c r="F642" s="3">
        <v>1785</v>
      </c>
    </row>
    <row r="643" spans="1:6" x14ac:dyDescent="0.35">
      <c r="A643" s="1" t="s">
        <v>28</v>
      </c>
      <c r="B643" s="1" t="s">
        <v>60</v>
      </c>
      <c r="C643" s="1" t="s">
        <v>40</v>
      </c>
      <c r="D643" s="1">
        <v>1875</v>
      </c>
      <c r="E643" s="13">
        <v>0</v>
      </c>
      <c r="F643" s="3">
        <v>1815</v>
      </c>
    </row>
    <row r="644" spans="1:6" x14ac:dyDescent="0.35">
      <c r="A644" s="1" t="s">
        <v>4</v>
      </c>
      <c r="B644" s="1" t="s">
        <v>61</v>
      </c>
      <c r="C644" s="1" t="s">
        <v>33</v>
      </c>
      <c r="D644" s="1">
        <v>4931</v>
      </c>
      <c r="E644" s="13">
        <v>0.67369701886027178</v>
      </c>
      <c r="F644" s="3">
        <v>2450.1999999999998</v>
      </c>
    </row>
    <row r="645" spans="1:6" x14ac:dyDescent="0.35">
      <c r="A645" s="1" t="s">
        <v>7</v>
      </c>
      <c r="B645" s="1" t="s">
        <v>61</v>
      </c>
      <c r="C645" s="1" t="s">
        <v>33</v>
      </c>
      <c r="D645" s="1">
        <v>5082</v>
      </c>
      <c r="E645" s="13">
        <v>0</v>
      </c>
      <c r="F645" s="3">
        <v>3109.6</v>
      </c>
    </row>
    <row r="646" spans="1:6" x14ac:dyDescent="0.35">
      <c r="A646" s="1" t="s">
        <v>8</v>
      </c>
      <c r="B646" s="1" t="s">
        <v>61</v>
      </c>
      <c r="C646" s="1" t="s">
        <v>33</v>
      </c>
      <c r="D646" s="1">
        <v>5233</v>
      </c>
      <c r="E646" s="13">
        <v>0</v>
      </c>
      <c r="F646" s="3">
        <v>3793.2</v>
      </c>
    </row>
    <row r="647" spans="1:6" x14ac:dyDescent="0.35">
      <c r="A647" s="1" t="s">
        <v>9</v>
      </c>
      <c r="B647" s="1" t="s">
        <v>61</v>
      </c>
      <c r="C647" s="1" t="s">
        <v>33</v>
      </c>
      <c r="D647" s="1">
        <v>5384</v>
      </c>
      <c r="E647" s="13">
        <v>0</v>
      </c>
      <c r="F647" s="3">
        <v>4501</v>
      </c>
    </row>
    <row r="648" spans="1:6" x14ac:dyDescent="0.35">
      <c r="A648" s="1" t="s">
        <v>10</v>
      </c>
      <c r="B648" s="1" t="s">
        <v>61</v>
      </c>
      <c r="C648" s="1" t="s">
        <v>33</v>
      </c>
      <c r="D648" s="1">
        <v>5535</v>
      </c>
      <c r="E648" s="13">
        <v>0</v>
      </c>
      <c r="F648" s="3">
        <v>5233</v>
      </c>
    </row>
    <row r="649" spans="1:6" x14ac:dyDescent="0.35">
      <c r="A649" s="1" t="s">
        <v>11</v>
      </c>
      <c r="B649" s="1" t="s">
        <v>61</v>
      </c>
      <c r="C649" s="1" t="s">
        <v>33</v>
      </c>
      <c r="D649" s="1">
        <v>5686</v>
      </c>
      <c r="E649" s="13">
        <v>0</v>
      </c>
      <c r="F649" s="3">
        <v>5384</v>
      </c>
    </row>
    <row r="650" spans="1:6" x14ac:dyDescent="0.35">
      <c r="A650" s="1" t="s">
        <v>12</v>
      </c>
      <c r="B650" s="1" t="s">
        <v>61</v>
      </c>
      <c r="C650" s="1" t="s">
        <v>33</v>
      </c>
      <c r="D650" s="1">
        <v>5837</v>
      </c>
      <c r="E650" s="13">
        <v>0</v>
      </c>
      <c r="F650" s="3">
        <v>5535</v>
      </c>
    </row>
    <row r="651" spans="1:6" x14ac:dyDescent="0.35">
      <c r="A651" s="1" t="s">
        <v>13</v>
      </c>
      <c r="B651" s="1" t="s">
        <v>61</v>
      </c>
      <c r="C651" s="1" t="s">
        <v>33</v>
      </c>
      <c r="D651" s="1">
        <v>5988</v>
      </c>
      <c r="E651" s="13">
        <v>0</v>
      </c>
      <c r="F651" s="3">
        <v>5686</v>
      </c>
    </row>
    <row r="652" spans="1:6" x14ac:dyDescent="0.35">
      <c r="A652" s="1" t="s">
        <v>14</v>
      </c>
      <c r="B652" s="1" t="s">
        <v>61</v>
      </c>
      <c r="C652" s="1" t="s">
        <v>33</v>
      </c>
      <c r="D652" s="1">
        <v>6139</v>
      </c>
      <c r="E652" s="13">
        <v>0</v>
      </c>
      <c r="F652" s="3">
        <v>5837</v>
      </c>
    </row>
    <row r="653" spans="1:6" x14ac:dyDescent="0.35">
      <c r="A653" s="1" t="s">
        <v>15</v>
      </c>
      <c r="B653" s="1" t="s">
        <v>61</v>
      </c>
      <c r="C653" s="1" t="s">
        <v>33</v>
      </c>
      <c r="D653" s="1">
        <v>6290</v>
      </c>
      <c r="E653" s="13">
        <v>0</v>
      </c>
      <c r="F653" s="3">
        <v>5988</v>
      </c>
    </row>
    <row r="654" spans="1:6" x14ac:dyDescent="0.35">
      <c r="A654" s="1" t="s">
        <v>16</v>
      </c>
      <c r="B654" s="1" t="s">
        <v>61</v>
      </c>
      <c r="C654" s="1" t="s">
        <v>33</v>
      </c>
      <c r="D654" s="1">
        <v>6441</v>
      </c>
      <c r="E654" s="13">
        <v>0</v>
      </c>
      <c r="F654" s="3">
        <v>6139</v>
      </c>
    </row>
    <row r="655" spans="1:6" x14ac:dyDescent="0.35">
      <c r="A655" s="1" t="s">
        <v>17</v>
      </c>
      <c r="B655" s="1" t="s">
        <v>61</v>
      </c>
      <c r="C655" s="1" t="s">
        <v>33</v>
      </c>
      <c r="D655" s="1">
        <v>6592</v>
      </c>
      <c r="E655" s="13">
        <v>0</v>
      </c>
      <c r="F655" s="3">
        <v>6290</v>
      </c>
    </row>
    <row r="656" spans="1:6" x14ac:dyDescent="0.35">
      <c r="A656" s="1" t="s">
        <v>18</v>
      </c>
      <c r="B656" s="1" t="s">
        <v>61</v>
      </c>
      <c r="C656" s="1" t="s">
        <v>33</v>
      </c>
      <c r="D656" s="1">
        <v>6743</v>
      </c>
      <c r="E656" s="13">
        <v>0</v>
      </c>
      <c r="F656" s="3">
        <v>6441</v>
      </c>
    </row>
    <row r="657" spans="1:6" x14ac:dyDescent="0.35">
      <c r="A657" s="1" t="s">
        <v>19</v>
      </c>
      <c r="B657" s="1" t="s">
        <v>61</v>
      </c>
      <c r="C657" s="1" t="s">
        <v>33</v>
      </c>
      <c r="D657" s="1">
        <v>6894</v>
      </c>
      <c r="E657" s="13">
        <v>0</v>
      </c>
      <c r="F657" s="3">
        <v>6592</v>
      </c>
    </row>
    <row r="658" spans="1:6" x14ac:dyDescent="0.35">
      <c r="A658" s="1" t="s">
        <v>20</v>
      </c>
      <c r="B658" s="1" t="s">
        <v>61</v>
      </c>
      <c r="C658" s="1" t="s">
        <v>33</v>
      </c>
      <c r="D658" s="1">
        <v>7045</v>
      </c>
      <c r="E658" s="13">
        <v>0</v>
      </c>
      <c r="F658" s="3">
        <v>6743</v>
      </c>
    </row>
    <row r="659" spans="1:6" x14ac:dyDescent="0.35">
      <c r="A659" s="1" t="s">
        <v>21</v>
      </c>
      <c r="B659" s="1" t="s">
        <v>61</v>
      </c>
      <c r="C659" s="1" t="s">
        <v>33</v>
      </c>
      <c r="D659" s="1">
        <v>7196</v>
      </c>
      <c r="E659" s="13">
        <v>0</v>
      </c>
      <c r="F659" s="3">
        <v>6894</v>
      </c>
    </row>
    <row r="660" spans="1:6" x14ac:dyDescent="0.35">
      <c r="A660" s="1" t="s">
        <v>22</v>
      </c>
      <c r="B660" s="1" t="s">
        <v>61</v>
      </c>
      <c r="C660" s="1" t="s">
        <v>33</v>
      </c>
      <c r="D660" s="1">
        <v>7347</v>
      </c>
      <c r="E660" s="13">
        <v>0</v>
      </c>
      <c r="F660" s="3">
        <v>7045</v>
      </c>
    </row>
    <row r="661" spans="1:6" x14ac:dyDescent="0.35">
      <c r="A661" s="1" t="s">
        <v>23</v>
      </c>
      <c r="B661" s="1" t="s">
        <v>61</v>
      </c>
      <c r="C661" s="1" t="s">
        <v>33</v>
      </c>
      <c r="D661" s="1">
        <v>7498</v>
      </c>
      <c r="E661" s="13">
        <v>0</v>
      </c>
      <c r="F661" s="3">
        <v>7196</v>
      </c>
    </row>
    <row r="662" spans="1:6" x14ac:dyDescent="0.35">
      <c r="A662" s="1" t="s">
        <v>24</v>
      </c>
      <c r="B662" s="1" t="s">
        <v>61</v>
      </c>
      <c r="C662" s="1" t="s">
        <v>33</v>
      </c>
      <c r="D662" s="1">
        <v>7649</v>
      </c>
      <c r="E662" s="13">
        <v>0</v>
      </c>
      <c r="F662" s="3">
        <v>7347</v>
      </c>
    </row>
    <row r="663" spans="1:6" x14ac:dyDescent="0.35">
      <c r="A663" s="1" t="s">
        <v>25</v>
      </c>
      <c r="B663" s="1" t="s">
        <v>61</v>
      </c>
      <c r="C663" s="1" t="s">
        <v>33</v>
      </c>
      <c r="D663" s="1">
        <v>7800</v>
      </c>
      <c r="E663" s="13">
        <v>0</v>
      </c>
      <c r="F663" s="3">
        <v>7498</v>
      </c>
    </row>
    <row r="664" spans="1:6" x14ac:dyDescent="0.35">
      <c r="A664" s="1" t="s">
        <v>26</v>
      </c>
      <c r="B664" s="1" t="s">
        <v>61</v>
      </c>
      <c r="C664" s="1" t="s">
        <v>33</v>
      </c>
      <c r="D664" s="1">
        <v>7951</v>
      </c>
      <c r="E664" s="13">
        <v>0</v>
      </c>
      <c r="F664" s="3">
        <v>7649</v>
      </c>
    </row>
    <row r="665" spans="1:6" x14ac:dyDescent="0.35">
      <c r="A665" s="1" t="s">
        <v>27</v>
      </c>
      <c r="B665" s="1" t="s">
        <v>61</v>
      </c>
      <c r="C665" s="1" t="s">
        <v>33</v>
      </c>
      <c r="D665" s="1">
        <v>8102</v>
      </c>
      <c r="E665" s="13">
        <v>0</v>
      </c>
      <c r="F665" s="3">
        <v>7800</v>
      </c>
    </row>
    <row r="666" spans="1:6" x14ac:dyDescent="0.35">
      <c r="A666" s="1" t="s">
        <v>28</v>
      </c>
      <c r="B666" s="1" t="s">
        <v>61</v>
      </c>
      <c r="C666" s="1" t="s">
        <v>33</v>
      </c>
      <c r="D666" s="1">
        <v>8253</v>
      </c>
      <c r="E666" s="13">
        <v>0</v>
      </c>
      <c r="F666" s="3">
        <v>7951</v>
      </c>
    </row>
    <row r="667" spans="1:6" x14ac:dyDescent="0.35">
      <c r="A667" s="1" t="s">
        <v>4</v>
      </c>
      <c r="B667" s="1" t="s">
        <v>62</v>
      </c>
      <c r="C667" s="1" t="s">
        <v>40</v>
      </c>
      <c r="D667" s="1">
        <v>427</v>
      </c>
      <c r="E667" s="13">
        <v>0.72131147540983609</v>
      </c>
      <c r="F667" s="3">
        <v>6506.6</v>
      </c>
    </row>
    <row r="668" spans="1:6" x14ac:dyDescent="0.35">
      <c r="A668" s="1" t="s">
        <v>7</v>
      </c>
      <c r="B668" s="1" t="s">
        <v>62</v>
      </c>
      <c r="C668" s="1" t="s">
        <v>40</v>
      </c>
      <c r="D668" s="1">
        <v>441</v>
      </c>
      <c r="E668" s="13">
        <v>0</v>
      </c>
      <c r="F668" s="3">
        <v>5034.8</v>
      </c>
    </row>
    <row r="669" spans="1:6" x14ac:dyDescent="0.35">
      <c r="A669" s="1" t="s">
        <v>8</v>
      </c>
      <c r="B669" s="1" t="s">
        <v>62</v>
      </c>
      <c r="C669" s="1" t="s">
        <v>40</v>
      </c>
      <c r="D669" s="1">
        <v>455</v>
      </c>
      <c r="E669" s="13">
        <v>0</v>
      </c>
      <c r="F669" s="3">
        <v>3535.6</v>
      </c>
    </row>
    <row r="670" spans="1:6" x14ac:dyDescent="0.35">
      <c r="A670" s="1" t="s">
        <v>9</v>
      </c>
      <c r="B670" s="1" t="s">
        <v>62</v>
      </c>
      <c r="C670" s="1" t="s">
        <v>40</v>
      </c>
      <c r="D670" s="1">
        <v>469</v>
      </c>
      <c r="E670" s="13">
        <v>0</v>
      </c>
      <c r="F670" s="3">
        <v>2009</v>
      </c>
    </row>
    <row r="671" spans="1:6" x14ac:dyDescent="0.35">
      <c r="A671" s="1" t="s">
        <v>10</v>
      </c>
      <c r="B671" s="1" t="s">
        <v>62</v>
      </c>
      <c r="C671" s="1" t="s">
        <v>40</v>
      </c>
      <c r="D671" s="1">
        <v>483</v>
      </c>
      <c r="E671" s="13">
        <v>0</v>
      </c>
      <c r="F671" s="3">
        <v>455</v>
      </c>
    </row>
    <row r="672" spans="1:6" x14ac:dyDescent="0.35">
      <c r="A672" s="1" t="s">
        <v>11</v>
      </c>
      <c r="B672" s="1" t="s">
        <v>62</v>
      </c>
      <c r="C672" s="1" t="s">
        <v>40</v>
      </c>
      <c r="D672" s="1">
        <v>497</v>
      </c>
      <c r="E672" s="13">
        <v>0</v>
      </c>
      <c r="F672" s="3">
        <v>469</v>
      </c>
    </row>
    <row r="673" spans="1:6" x14ac:dyDescent="0.35">
      <c r="A673" s="1" t="s">
        <v>12</v>
      </c>
      <c r="B673" s="1" t="s">
        <v>62</v>
      </c>
      <c r="C673" s="1" t="s">
        <v>40</v>
      </c>
      <c r="D673" s="1">
        <v>511</v>
      </c>
      <c r="E673" s="13">
        <v>0</v>
      </c>
      <c r="F673" s="3">
        <v>483</v>
      </c>
    </row>
    <row r="674" spans="1:6" x14ac:dyDescent="0.35">
      <c r="A674" s="1" t="s">
        <v>13</v>
      </c>
      <c r="B674" s="1" t="s">
        <v>62</v>
      </c>
      <c r="C674" s="1" t="s">
        <v>40</v>
      </c>
      <c r="D674" s="1">
        <v>525</v>
      </c>
      <c r="E674" s="13">
        <v>0</v>
      </c>
      <c r="F674" s="3">
        <v>497</v>
      </c>
    </row>
    <row r="675" spans="1:6" x14ac:dyDescent="0.35">
      <c r="A675" s="1" t="s">
        <v>14</v>
      </c>
      <c r="B675" s="1" t="s">
        <v>62</v>
      </c>
      <c r="C675" s="1" t="s">
        <v>40</v>
      </c>
      <c r="D675" s="1">
        <v>539</v>
      </c>
      <c r="E675" s="13">
        <v>0</v>
      </c>
      <c r="F675" s="3">
        <v>511</v>
      </c>
    </row>
    <row r="676" spans="1:6" x14ac:dyDescent="0.35">
      <c r="A676" s="1" t="s">
        <v>15</v>
      </c>
      <c r="B676" s="1" t="s">
        <v>62</v>
      </c>
      <c r="C676" s="1" t="s">
        <v>40</v>
      </c>
      <c r="D676" s="1">
        <v>553</v>
      </c>
      <c r="E676" s="13">
        <v>0</v>
      </c>
      <c r="F676" s="3">
        <v>525</v>
      </c>
    </row>
    <row r="677" spans="1:6" x14ac:dyDescent="0.35">
      <c r="A677" s="1" t="s">
        <v>16</v>
      </c>
      <c r="B677" s="1" t="s">
        <v>62</v>
      </c>
      <c r="C677" s="1" t="s">
        <v>40</v>
      </c>
      <c r="D677" s="1">
        <v>567</v>
      </c>
      <c r="E677" s="13">
        <v>0</v>
      </c>
      <c r="F677" s="3">
        <v>539</v>
      </c>
    </row>
    <row r="678" spans="1:6" x14ac:dyDescent="0.35">
      <c r="A678" s="1" t="s">
        <v>17</v>
      </c>
      <c r="B678" s="1" t="s">
        <v>62</v>
      </c>
      <c r="C678" s="1" t="s">
        <v>40</v>
      </c>
      <c r="D678" s="1">
        <v>581</v>
      </c>
      <c r="E678" s="13">
        <v>0</v>
      </c>
      <c r="F678" s="3">
        <v>553</v>
      </c>
    </row>
    <row r="679" spans="1:6" x14ac:dyDescent="0.35">
      <c r="A679" s="1" t="s">
        <v>18</v>
      </c>
      <c r="B679" s="1" t="s">
        <v>62</v>
      </c>
      <c r="C679" s="1" t="s">
        <v>40</v>
      </c>
      <c r="D679" s="1">
        <v>595</v>
      </c>
      <c r="E679" s="13">
        <v>0</v>
      </c>
      <c r="F679" s="3">
        <v>567</v>
      </c>
    </row>
    <row r="680" spans="1:6" x14ac:dyDescent="0.35">
      <c r="A680" s="1" t="s">
        <v>19</v>
      </c>
      <c r="B680" s="1" t="s">
        <v>62</v>
      </c>
      <c r="C680" s="1" t="s">
        <v>40</v>
      </c>
      <c r="D680" s="1">
        <v>609</v>
      </c>
      <c r="E680" s="13">
        <v>0</v>
      </c>
      <c r="F680" s="3">
        <v>581</v>
      </c>
    </row>
    <row r="681" spans="1:6" x14ac:dyDescent="0.35">
      <c r="A681" s="1" t="s">
        <v>20</v>
      </c>
      <c r="B681" s="1" t="s">
        <v>62</v>
      </c>
      <c r="C681" s="1" t="s">
        <v>40</v>
      </c>
      <c r="D681" s="1">
        <v>623</v>
      </c>
      <c r="E681" s="13">
        <v>0</v>
      </c>
      <c r="F681" s="3">
        <v>595</v>
      </c>
    </row>
    <row r="682" spans="1:6" x14ac:dyDescent="0.35">
      <c r="A682" s="1" t="s">
        <v>21</v>
      </c>
      <c r="B682" s="1" t="s">
        <v>62</v>
      </c>
      <c r="C682" s="1" t="s">
        <v>40</v>
      </c>
      <c r="D682" s="1">
        <v>637</v>
      </c>
      <c r="E682" s="13">
        <v>0</v>
      </c>
      <c r="F682" s="3">
        <v>609</v>
      </c>
    </row>
    <row r="683" spans="1:6" x14ac:dyDescent="0.35">
      <c r="A683" s="1" t="s">
        <v>22</v>
      </c>
      <c r="B683" s="1" t="s">
        <v>62</v>
      </c>
      <c r="C683" s="1" t="s">
        <v>40</v>
      </c>
      <c r="D683" s="1">
        <v>651</v>
      </c>
      <c r="E683" s="13">
        <v>0</v>
      </c>
      <c r="F683" s="3">
        <v>623</v>
      </c>
    </row>
    <row r="684" spans="1:6" x14ac:dyDescent="0.35">
      <c r="A684" s="1" t="s">
        <v>23</v>
      </c>
      <c r="B684" s="1" t="s">
        <v>62</v>
      </c>
      <c r="C684" s="1" t="s">
        <v>40</v>
      </c>
      <c r="D684" s="1">
        <v>665</v>
      </c>
      <c r="E684" s="13">
        <v>0</v>
      </c>
      <c r="F684" s="3">
        <v>637</v>
      </c>
    </row>
    <row r="685" spans="1:6" x14ac:dyDescent="0.35">
      <c r="A685" s="1" t="s">
        <v>24</v>
      </c>
      <c r="B685" s="1" t="s">
        <v>62</v>
      </c>
      <c r="C685" s="1" t="s">
        <v>40</v>
      </c>
      <c r="D685" s="1">
        <v>679</v>
      </c>
      <c r="E685" s="13">
        <v>0</v>
      </c>
      <c r="F685" s="3">
        <v>651</v>
      </c>
    </row>
    <row r="686" spans="1:6" x14ac:dyDescent="0.35">
      <c r="A686" s="1" t="s">
        <v>25</v>
      </c>
      <c r="B686" s="1" t="s">
        <v>62</v>
      </c>
      <c r="C686" s="1" t="s">
        <v>40</v>
      </c>
      <c r="D686" s="1">
        <v>693</v>
      </c>
      <c r="E686" s="13">
        <v>0</v>
      </c>
      <c r="F686" s="3">
        <v>665</v>
      </c>
    </row>
    <row r="687" spans="1:6" x14ac:dyDescent="0.35">
      <c r="A687" s="1" t="s">
        <v>26</v>
      </c>
      <c r="B687" s="1" t="s">
        <v>62</v>
      </c>
      <c r="C687" s="1" t="s">
        <v>40</v>
      </c>
      <c r="D687" s="1">
        <v>707</v>
      </c>
      <c r="E687" s="13">
        <v>0</v>
      </c>
      <c r="F687" s="3">
        <v>679</v>
      </c>
    </row>
    <row r="688" spans="1:6" x14ac:dyDescent="0.35">
      <c r="A688" s="1" t="s">
        <v>27</v>
      </c>
      <c r="B688" s="1" t="s">
        <v>62</v>
      </c>
      <c r="C688" s="1" t="s">
        <v>40</v>
      </c>
      <c r="D688" s="1">
        <v>721</v>
      </c>
      <c r="E688" s="13">
        <v>0</v>
      </c>
      <c r="F688" s="3">
        <v>693</v>
      </c>
    </row>
    <row r="689" spans="1:6" x14ac:dyDescent="0.35">
      <c r="A689" s="1" t="s">
        <v>28</v>
      </c>
      <c r="B689" s="1" t="s">
        <v>62</v>
      </c>
      <c r="C689" s="1" t="s">
        <v>40</v>
      </c>
      <c r="D689" s="1">
        <v>735</v>
      </c>
      <c r="E689" s="13">
        <v>0</v>
      </c>
      <c r="F689" s="3">
        <v>707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9"/>
  <sheetViews>
    <sheetView topLeftCell="A2" zoomScale="90" zoomScaleNormal="90" workbookViewId="0">
      <selection activeCell="C8" sqref="C8"/>
    </sheetView>
  </sheetViews>
  <sheetFormatPr defaultRowHeight="14.5" x14ac:dyDescent="0.35"/>
  <cols>
    <col min="1" max="1" width="15.1796875" customWidth="1"/>
    <col min="2" max="2" width="14.36328125" customWidth="1"/>
    <col min="3" max="3" width="31" customWidth="1"/>
    <col min="4" max="4" width="5.1796875" customWidth="1"/>
    <col min="5" max="5" width="9.7265625" customWidth="1"/>
    <col min="6" max="6" width="10" customWidth="1"/>
    <col min="7" max="7" width="5.1796875" customWidth="1"/>
    <col min="8" max="8" width="12.90625" customWidth="1"/>
    <col min="9" max="9" width="18.81640625" customWidth="1"/>
    <col min="10" max="10" width="11.81640625" customWidth="1"/>
    <col min="11" max="12" width="5.1796875" customWidth="1"/>
    <col min="13" max="14" width="3.08984375" customWidth="1"/>
    <col min="15" max="15" width="11" customWidth="1"/>
    <col min="16" max="16" width="14.36328125" customWidth="1"/>
    <col min="17" max="18" width="5.1796875" customWidth="1"/>
    <col min="19" max="19" width="10.90625" customWidth="1"/>
    <col min="20" max="20" width="10" customWidth="1"/>
    <col min="21" max="21" width="5.7265625" customWidth="1"/>
    <col min="22" max="22" width="15.1796875" customWidth="1"/>
    <col min="23" max="23" width="14.36328125" customWidth="1"/>
    <col min="24" max="24" width="19.1796875" customWidth="1"/>
    <col min="25" max="26" width="5.1796875" customWidth="1"/>
    <col min="27" max="27" width="15.1796875" customWidth="1"/>
    <col min="28" max="28" width="19.54296875" customWidth="1"/>
    <col min="29" max="29" width="10.90625" customWidth="1"/>
    <col min="30" max="34" width="5.1796875" customWidth="1"/>
    <col min="35" max="35" width="3.08984375" customWidth="1"/>
    <col min="36" max="36" width="6.26953125" customWidth="1"/>
    <col min="37" max="38" width="5.1796875" customWidth="1"/>
    <col min="39" max="39" width="3.08984375" customWidth="1"/>
    <col min="40" max="40" width="5.1796875" customWidth="1"/>
    <col min="41" max="42" width="3.08984375" customWidth="1"/>
    <col min="43" max="44" width="5.1796875" customWidth="1"/>
    <col min="45" max="45" width="6.26953125" customWidth="1"/>
    <col min="46" max="46" width="5.1796875" customWidth="1"/>
    <col min="47" max="47" width="3.08984375" customWidth="1"/>
    <col min="48" max="49" width="5.1796875" customWidth="1"/>
    <col min="50" max="50" width="6.26953125" customWidth="1"/>
    <col min="51" max="52" width="3.08984375" customWidth="1"/>
    <col min="53" max="56" width="5.1796875" customWidth="1"/>
    <col min="57" max="57" width="3.08984375" customWidth="1"/>
    <col min="58" max="59" width="5.1796875" customWidth="1"/>
    <col min="60" max="60" width="6.26953125" customWidth="1"/>
    <col min="61" max="68" width="5.1796875" customWidth="1"/>
    <col min="69" max="69" width="3.08984375" customWidth="1"/>
    <col min="70" max="73" width="5.1796875" customWidth="1"/>
    <col min="74" max="74" width="3.08984375" customWidth="1"/>
    <col min="75" max="75" width="5.1796875" customWidth="1"/>
    <col min="76" max="76" width="3.08984375" customWidth="1"/>
    <col min="77" max="83" width="5.1796875" customWidth="1"/>
    <col min="84" max="84" width="3.08984375" customWidth="1"/>
    <col min="85" max="88" width="5.1796875" customWidth="1"/>
    <col min="89" max="89" width="3.08984375" customWidth="1"/>
    <col min="90" max="91" width="5.1796875" customWidth="1"/>
    <col min="92" max="93" width="3.08984375" customWidth="1"/>
    <col min="94" max="94" width="5.1796875" customWidth="1"/>
    <col min="95" max="95" width="3.08984375" customWidth="1"/>
    <col min="96" max="100" width="5.1796875" customWidth="1"/>
    <col min="101" max="101" width="4.1796875" customWidth="1"/>
    <col min="102" max="104" width="5.1796875" customWidth="1"/>
    <col min="105" max="105" width="3.08984375" customWidth="1"/>
    <col min="106" max="108" width="5.1796875" customWidth="1"/>
    <col min="109" max="109" width="4.1796875" customWidth="1"/>
    <col min="110" max="110" width="5.1796875" customWidth="1"/>
    <col min="111" max="111" width="3.08984375" customWidth="1"/>
    <col min="112" max="114" width="5.1796875" customWidth="1"/>
    <col min="115" max="115" width="4.1796875" customWidth="1"/>
    <col min="116" max="116" width="5.1796875" customWidth="1"/>
    <col min="117" max="117" width="3.08984375" customWidth="1"/>
    <col min="118" max="126" width="5.1796875" customWidth="1"/>
    <col min="127" max="127" width="6.26953125" customWidth="1"/>
    <col min="128" max="139" width="4.1796875" customWidth="1"/>
    <col min="140" max="140" width="6.26953125" customWidth="1"/>
    <col min="141" max="147" width="4.1796875" customWidth="1"/>
    <col min="148" max="149" width="6.26953125" customWidth="1"/>
    <col min="150" max="160" width="4.1796875" customWidth="1"/>
    <col min="161" max="161" width="6.26953125" customWidth="1"/>
    <col min="162" max="173" width="4.1796875" customWidth="1"/>
    <col min="174" max="174" width="6.26953125" customWidth="1"/>
    <col min="175" max="175" width="4.1796875" customWidth="1"/>
    <col min="176" max="179" width="6.26953125" customWidth="1"/>
    <col min="180" max="180" width="4.1796875" customWidth="1"/>
    <col min="181" max="181" width="6.26953125" customWidth="1"/>
    <col min="182" max="182" width="4.1796875" customWidth="1"/>
    <col min="183" max="185" width="6.26953125" customWidth="1"/>
    <col min="186" max="186" width="4.1796875" customWidth="1"/>
    <col min="187" max="190" width="6.26953125" customWidth="1"/>
    <col min="191" max="191" width="4.1796875" customWidth="1"/>
    <col min="192" max="196" width="6.26953125" customWidth="1"/>
    <col min="197" max="197" width="5.1796875" customWidth="1"/>
    <col min="198" max="199" width="6.26953125" customWidth="1"/>
    <col min="200" max="200" width="4.1796875" customWidth="1"/>
    <col min="201" max="201" width="5.1796875" customWidth="1"/>
    <col min="202" max="205" width="6.26953125" customWidth="1"/>
    <col min="206" max="206" width="7.36328125" customWidth="1"/>
    <col min="207" max="207" width="5.1796875" customWidth="1"/>
    <col min="208" max="216" width="7.36328125" customWidth="1"/>
    <col min="217" max="217" width="5.1796875" customWidth="1"/>
    <col min="218" max="225" width="7.36328125" customWidth="1"/>
    <col min="226" max="226" width="5.1796875" customWidth="1"/>
    <col min="227" max="227" width="7.36328125" customWidth="1"/>
    <col min="228" max="228" width="5.1796875" customWidth="1"/>
    <col min="229" max="230" width="7.36328125" customWidth="1"/>
    <col min="231" max="231" width="5.1796875" customWidth="1"/>
    <col min="232" max="233" width="7.36328125" customWidth="1"/>
    <col min="234" max="234" width="5.1796875" customWidth="1"/>
    <col min="235" max="236" width="7.36328125" customWidth="1"/>
    <col min="237" max="240" width="5.1796875" customWidth="1"/>
    <col min="241" max="243" width="7.36328125" customWidth="1"/>
    <col min="244" max="246" width="5.1796875" customWidth="1"/>
    <col min="247" max="252" width="7.36328125" customWidth="1"/>
    <col min="253" max="253" width="5.1796875" customWidth="1"/>
    <col min="254" max="256" width="7.36328125" customWidth="1"/>
    <col min="257" max="257" width="5.1796875" customWidth="1"/>
    <col min="258" max="259" width="7.36328125" customWidth="1"/>
    <col min="260" max="263" width="5.1796875" customWidth="1"/>
    <col min="264" max="265" width="7.36328125" customWidth="1"/>
    <col min="266" max="266" width="5.1796875" customWidth="1"/>
    <col min="267" max="271" width="7.36328125" customWidth="1"/>
    <col min="272" max="272" width="5.1796875" customWidth="1"/>
    <col min="273" max="275" width="7.36328125" customWidth="1"/>
    <col min="276" max="276" width="5.1796875" customWidth="1"/>
    <col min="277" max="278" width="7.36328125" customWidth="1"/>
    <col min="279" max="280" width="5.1796875" customWidth="1"/>
    <col min="281" max="281" width="7.36328125" customWidth="1"/>
    <col min="282" max="283" width="5.1796875" customWidth="1"/>
    <col min="284" max="285" width="7.36328125" customWidth="1"/>
    <col min="286" max="286" width="5.1796875" customWidth="1"/>
    <col min="287" max="287" width="7.36328125" customWidth="1"/>
    <col min="288" max="289" width="5.1796875" customWidth="1"/>
    <col min="290" max="291" width="7.36328125" customWidth="1"/>
    <col min="292" max="294" width="5.1796875" customWidth="1"/>
    <col min="295" max="300" width="7.36328125" customWidth="1"/>
    <col min="301" max="301" width="5.1796875" customWidth="1"/>
    <col min="302" max="302" width="7.36328125" customWidth="1"/>
    <col min="303" max="303" width="5.1796875" customWidth="1"/>
    <col min="304" max="305" width="7.36328125" customWidth="1"/>
    <col min="306" max="306" width="5.1796875" customWidth="1"/>
    <col min="307" max="308" width="7.36328125" customWidth="1"/>
    <col min="309" max="309" width="5.1796875" customWidth="1"/>
    <col min="310" max="315" width="7.36328125" customWidth="1"/>
    <col min="316" max="316" width="5.1796875" customWidth="1"/>
    <col min="317" max="317" width="7.36328125" customWidth="1"/>
    <col min="318" max="318" width="5.1796875" customWidth="1"/>
    <col min="319" max="320" width="7.36328125" customWidth="1"/>
    <col min="321" max="321" width="5.1796875" customWidth="1"/>
    <col min="322" max="325" width="7.36328125" customWidth="1"/>
    <col min="326" max="326" width="5.1796875" customWidth="1"/>
    <col min="327" max="334" width="7.36328125" customWidth="1"/>
    <col min="335" max="335" width="5.1796875" customWidth="1"/>
    <col min="336" max="337" width="7.36328125" customWidth="1"/>
    <col min="338" max="338" width="5.1796875" customWidth="1"/>
    <col min="339" max="341" width="7.36328125" customWidth="1"/>
    <col min="342" max="342" width="5.1796875" customWidth="1"/>
    <col min="343" max="345" width="7.36328125" customWidth="1"/>
    <col min="346" max="346" width="5.1796875" customWidth="1"/>
    <col min="347" max="351" width="7.36328125" customWidth="1"/>
    <col min="352" max="352" width="5.1796875" customWidth="1"/>
    <col min="353" max="356" width="7.36328125" customWidth="1"/>
    <col min="357" max="357" width="5.1796875" customWidth="1"/>
    <col min="358" max="362" width="7.36328125" customWidth="1"/>
    <col min="363" max="363" width="5.1796875" customWidth="1"/>
    <col min="364" max="366" width="7.36328125" customWidth="1"/>
    <col min="367" max="367" width="5.1796875" customWidth="1"/>
    <col min="368" max="372" width="7.36328125" customWidth="1"/>
    <col min="373" max="373" width="5.1796875" customWidth="1"/>
    <col min="374" max="376" width="7.36328125" customWidth="1"/>
    <col min="377" max="378" width="5.1796875" customWidth="1"/>
    <col min="379" max="380" width="7.36328125" customWidth="1"/>
    <col min="381" max="384" width="5.1796875" customWidth="1"/>
    <col min="385" max="385" width="7.36328125" customWidth="1"/>
    <col min="386" max="387" width="5.1796875" customWidth="1"/>
    <col min="388" max="389" width="7.36328125" customWidth="1"/>
    <col min="390" max="391" width="5.1796875" customWidth="1"/>
    <col min="392" max="393" width="7.36328125" customWidth="1"/>
    <col min="394" max="395" width="5.1796875" customWidth="1"/>
    <col min="396" max="397" width="7.36328125" customWidth="1"/>
    <col min="398" max="399" width="5.1796875" customWidth="1"/>
    <col min="400" max="401" width="7.36328125" customWidth="1"/>
    <col min="402" max="402" width="5.1796875" customWidth="1"/>
    <col min="403" max="403" width="7.36328125" customWidth="1"/>
    <col min="404" max="404" width="5.1796875" customWidth="1"/>
    <col min="405" max="405" width="7.36328125" customWidth="1"/>
    <col min="406" max="406" width="5.1796875" customWidth="1"/>
    <col min="407" max="410" width="7.36328125" customWidth="1"/>
    <col min="411" max="412" width="5.1796875" customWidth="1"/>
    <col min="413" max="416" width="7.36328125" customWidth="1"/>
    <col min="417" max="418" width="5.1796875" customWidth="1"/>
    <col min="419" max="421" width="7.36328125" customWidth="1"/>
    <col min="422" max="422" width="5.1796875" customWidth="1"/>
    <col min="423" max="423" width="7.36328125" customWidth="1"/>
    <col min="424" max="425" width="5.1796875" customWidth="1"/>
    <col min="426" max="429" width="7.36328125" customWidth="1"/>
    <col min="430" max="432" width="5.1796875" customWidth="1"/>
    <col min="433" max="435" width="7.36328125" customWidth="1"/>
    <col min="436" max="436" width="5.1796875" customWidth="1"/>
    <col min="437" max="437" width="7.36328125" customWidth="1"/>
    <col min="438" max="439" width="5.1796875" customWidth="1"/>
    <col min="440" max="441" width="7.36328125" customWidth="1"/>
    <col min="442" max="443" width="5.1796875" customWidth="1"/>
    <col min="444" max="444" width="7.36328125" customWidth="1"/>
    <col min="445" max="445" width="5.1796875" customWidth="1"/>
    <col min="446" max="446" width="7.36328125" customWidth="1"/>
    <col min="447" max="448" width="5.1796875" customWidth="1"/>
    <col min="449" max="450" width="7.36328125" customWidth="1"/>
    <col min="451" max="455" width="5.1796875" customWidth="1"/>
    <col min="456" max="458" width="7.36328125" customWidth="1"/>
    <col min="459" max="459" width="5.1796875" customWidth="1"/>
    <col min="460" max="460" width="7.36328125" customWidth="1"/>
    <col min="461" max="461" width="5.1796875" customWidth="1"/>
    <col min="462" max="464" width="7.36328125" customWidth="1"/>
    <col min="465" max="465" width="5.1796875" customWidth="1"/>
    <col min="466" max="466" width="7.36328125" customWidth="1"/>
    <col min="467" max="467" width="5.1796875" customWidth="1"/>
    <col min="468" max="468" width="7.36328125" customWidth="1"/>
    <col min="469" max="469" width="5.1796875" customWidth="1"/>
    <col min="470" max="471" width="7.36328125" customWidth="1"/>
    <col min="472" max="473" width="5.1796875" customWidth="1"/>
    <col min="474" max="476" width="7.36328125" customWidth="1"/>
    <col min="477" max="477" width="5.1796875" customWidth="1"/>
    <col min="478" max="478" width="7.36328125" customWidth="1"/>
    <col min="479" max="481" width="5.1796875" customWidth="1"/>
    <col min="482" max="483" width="7.36328125" customWidth="1"/>
    <col min="484" max="486" width="5.1796875" customWidth="1"/>
    <col min="487" max="489" width="7.36328125" customWidth="1"/>
    <col min="490" max="490" width="5.1796875" customWidth="1"/>
    <col min="491" max="491" width="7.36328125" customWidth="1"/>
    <col min="492" max="492" width="5.1796875" customWidth="1"/>
    <col min="493" max="495" width="7.36328125" customWidth="1"/>
    <col min="496" max="497" width="5.1796875" customWidth="1"/>
    <col min="498" max="498" width="7.36328125" customWidth="1"/>
    <col min="499" max="502" width="5.1796875" customWidth="1"/>
    <col min="503" max="507" width="7.36328125" customWidth="1"/>
    <col min="508" max="509" width="5.1796875" customWidth="1"/>
    <col min="510" max="510" width="7.36328125" customWidth="1"/>
    <col min="511" max="513" width="5.1796875" customWidth="1"/>
    <col min="514" max="514" width="7.36328125" customWidth="1"/>
    <col min="515" max="517" width="5.1796875" customWidth="1"/>
    <col min="518" max="518" width="7.36328125" customWidth="1"/>
    <col min="519" max="521" width="5.1796875" customWidth="1"/>
    <col min="522" max="525" width="7.36328125" customWidth="1"/>
    <col min="526" max="527" width="5.1796875" customWidth="1"/>
    <col min="528" max="531" width="7.36328125" customWidth="1"/>
    <col min="532" max="532" width="5.1796875" customWidth="1"/>
    <col min="533" max="533" width="7.36328125" customWidth="1"/>
    <col min="534" max="535" width="5.1796875" customWidth="1"/>
    <col min="536" max="543" width="7.36328125" customWidth="1"/>
    <col min="544" max="544" width="5.1796875" customWidth="1"/>
    <col min="545" max="545" width="7.36328125" customWidth="1"/>
    <col min="546" max="552" width="5.1796875" customWidth="1"/>
    <col min="553" max="553" width="7.36328125" customWidth="1"/>
    <col min="554" max="560" width="5.1796875" customWidth="1"/>
    <col min="561" max="562" width="7.36328125" customWidth="1"/>
    <col min="563" max="563" width="5.1796875" customWidth="1"/>
    <col min="564" max="564" width="7.36328125" customWidth="1"/>
    <col min="565" max="565" width="6.26953125" customWidth="1"/>
    <col min="566" max="566" width="7.36328125" customWidth="1"/>
    <col min="567" max="567" width="5.1796875" customWidth="1"/>
    <col min="568" max="570" width="7.36328125" customWidth="1"/>
    <col min="571" max="571" width="5.1796875" customWidth="1"/>
    <col min="572" max="573" width="7.36328125" customWidth="1"/>
    <col min="574" max="574" width="6.26953125" customWidth="1"/>
    <col min="575" max="578" width="7.36328125" customWidth="1"/>
    <col min="579" max="579" width="5.1796875" customWidth="1"/>
    <col min="580" max="580" width="7.36328125" customWidth="1"/>
    <col min="581" max="582" width="6.26953125" customWidth="1"/>
    <col min="583" max="587" width="7.36328125" customWidth="1"/>
    <col min="588" max="590" width="8.453125" customWidth="1"/>
    <col min="591" max="591" width="6.26953125" customWidth="1"/>
    <col min="592" max="595" width="8.453125" customWidth="1"/>
    <col min="596" max="596" width="6.26953125" customWidth="1"/>
    <col min="597" max="604" width="8.453125" customWidth="1"/>
    <col min="605" max="605" width="6.26953125" customWidth="1"/>
    <col min="606" max="606" width="8.453125" customWidth="1"/>
    <col min="607" max="608" width="6.26953125" customWidth="1"/>
    <col min="609" max="609" width="8.453125" customWidth="1"/>
    <col min="610" max="610" width="6.26953125" customWidth="1"/>
    <col min="611" max="619" width="8.453125" customWidth="1"/>
    <col min="620" max="620" width="6.26953125" customWidth="1"/>
    <col min="621" max="627" width="8.453125" customWidth="1"/>
    <col min="628" max="628" width="6.26953125" customWidth="1"/>
    <col min="629" max="639" width="8.453125" customWidth="1"/>
    <col min="640" max="640" width="6.26953125" customWidth="1"/>
    <col min="641" max="642" width="8.453125" customWidth="1"/>
    <col min="643" max="646" width="6.26953125" customWidth="1"/>
    <col min="647" max="647" width="8.453125" customWidth="1"/>
    <col min="648" max="655" width="6.26953125" customWidth="1"/>
    <col min="656" max="656" width="8.453125" customWidth="1"/>
    <col min="657" max="666" width="6.26953125" customWidth="1"/>
    <col min="667" max="667" width="10.81640625" bestFit="1" customWidth="1"/>
  </cols>
  <sheetData>
    <row r="1" spans="1:29" x14ac:dyDescent="0.35">
      <c r="A1" s="48" t="s">
        <v>102</v>
      </c>
      <c r="B1" s="49"/>
      <c r="H1" s="11" t="s">
        <v>107</v>
      </c>
      <c r="I1" s="12"/>
    </row>
    <row r="2" spans="1:29" x14ac:dyDescent="0.35">
      <c r="V2" s="9" t="s">
        <v>0</v>
      </c>
      <c r="W2" t="s">
        <v>28</v>
      </c>
    </row>
    <row r="3" spans="1:29" x14ac:dyDescent="0.35">
      <c r="A3" s="9" t="s">
        <v>0</v>
      </c>
      <c r="B3" t="s">
        <v>28</v>
      </c>
      <c r="V3" s="9" t="s">
        <v>2</v>
      </c>
      <c r="W3" t="s">
        <v>35</v>
      </c>
    </row>
    <row r="4" spans="1:29" x14ac:dyDescent="0.35">
      <c r="A4" s="9" t="s">
        <v>2</v>
      </c>
      <c r="B4" t="s">
        <v>35</v>
      </c>
      <c r="C4" t="str">
        <f>$B$4</f>
        <v>Central India</v>
      </c>
      <c r="O4" s="22" t="s">
        <v>0</v>
      </c>
      <c r="P4" s="23" t="s">
        <v>28</v>
      </c>
      <c r="AB4" s="9" t="s">
        <v>0</v>
      </c>
      <c r="AC4" t="s">
        <v>28</v>
      </c>
    </row>
    <row r="5" spans="1:29" x14ac:dyDescent="0.35">
      <c r="H5" s="9" t="s">
        <v>2</v>
      </c>
      <c r="I5" t="s">
        <v>101</v>
      </c>
      <c r="O5" s="22" t="s">
        <v>1</v>
      </c>
      <c r="P5" s="23" t="s">
        <v>101</v>
      </c>
      <c r="V5" s="9" t="s">
        <v>99</v>
      </c>
      <c r="W5" t="s">
        <v>98</v>
      </c>
    </row>
    <row r="6" spans="1:29" x14ac:dyDescent="0.35">
      <c r="A6" s="9" t="s">
        <v>99</v>
      </c>
      <c r="B6" t="s">
        <v>98</v>
      </c>
      <c r="C6" t="s">
        <v>110</v>
      </c>
      <c r="H6" s="9" t="s">
        <v>1</v>
      </c>
      <c r="I6" t="s">
        <v>101</v>
      </c>
      <c r="O6" s="22" t="s">
        <v>2</v>
      </c>
      <c r="P6" s="23" t="s">
        <v>35</v>
      </c>
      <c r="V6" s="10" t="s">
        <v>46</v>
      </c>
      <c r="W6" s="8">
        <v>21326</v>
      </c>
      <c r="AB6" s="9" t="s">
        <v>99</v>
      </c>
      <c r="AC6" t="s">
        <v>98</v>
      </c>
    </row>
    <row r="7" spans="1:29" x14ac:dyDescent="0.35">
      <c r="A7" s="10" t="s">
        <v>46</v>
      </c>
      <c r="B7" s="8">
        <v>21326</v>
      </c>
      <c r="C7" t="str">
        <f>IFERROR(RANK(GETPIVOTDATA("Milk",$O$8),B7:B35,0),"-")</f>
        <v>-</v>
      </c>
      <c r="O7" s="18"/>
      <c r="P7" s="17"/>
      <c r="V7" s="10" t="s">
        <v>34</v>
      </c>
      <c r="W7" s="8">
        <v>2124</v>
      </c>
      <c r="AB7" s="10" t="s">
        <v>40</v>
      </c>
      <c r="AC7" s="8">
        <v>61120</v>
      </c>
    </row>
    <row r="8" spans="1:29" x14ac:dyDescent="0.35">
      <c r="A8" s="10" t="s">
        <v>34</v>
      </c>
      <c r="B8" s="8">
        <v>2124</v>
      </c>
      <c r="C8" t="str">
        <f>IF($C$4&lt;&gt;"(All)",$C$7,"-")</f>
        <v>-</v>
      </c>
      <c r="H8" s="9" t="s">
        <v>99</v>
      </c>
      <c r="I8" t="s">
        <v>98</v>
      </c>
      <c r="J8" t="s">
        <v>106</v>
      </c>
      <c r="O8" s="24" t="s">
        <v>98</v>
      </c>
      <c r="P8" s="17"/>
      <c r="V8" s="10" t="s">
        <v>100</v>
      </c>
      <c r="W8" s="8">
        <v>23450</v>
      </c>
      <c r="AB8" s="10" t="s">
        <v>6</v>
      </c>
      <c r="AC8" s="8">
        <v>47874</v>
      </c>
    </row>
    <row r="9" spans="1:29" x14ac:dyDescent="0.35">
      <c r="H9" s="10" t="s">
        <v>4</v>
      </c>
      <c r="I9" s="8">
        <v>87062</v>
      </c>
      <c r="J9" s="16"/>
      <c r="O9" s="25">
        <v>23450</v>
      </c>
      <c r="P9" s="19"/>
      <c r="AB9" s="10" t="s">
        <v>37</v>
      </c>
      <c r="AC9" s="8">
        <v>34421</v>
      </c>
    </row>
    <row r="10" spans="1:29" x14ac:dyDescent="0.35">
      <c r="H10" s="10" t="s">
        <v>7</v>
      </c>
      <c r="I10" s="8">
        <v>89541</v>
      </c>
      <c r="J10" s="16">
        <v>2.8473961085203649E-2</v>
      </c>
      <c r="AB10" s="10" t="s">
        <v>33</v>
      </c>
      <c r="AC10" s="8">
        <v>26767</v>
      </c>
    </row>
    <row r="11" spans="1:29" x14ac:dyDescent="0.35">
      <c r="H11" s="10" t="s">
        <v>8</v>
      </c>
      <c r="I11" s="8">
        <v>91283</v>
      </c>
      <c r="J11" s="16">
        <v>1.9454774907584235E-2</v>
      </c>
      <c r="AB11" s="10" t="s">
        <v>35</v>
      </c>
      <c r="AC11" s="8">
        <v>23450</v>
      </c>
    </row>
    <row r="12" spans="1:29" x14ac:dyDescent="0.35">
      <c r="H12" s="10" t="s">
        <v>9</v>
      </c>
      <c r="I12" s="8">
        <v>95803</v>
      </c>
      <c r="J12" s="16">
        <v>4.9516339296473602E-2</v>
      </c>
      <c r="S12" s="22" t="s">
        <v>1</v>
      </c>
      <c r="T12" s="23" t="s">
        <v>101</v>
      </c>
      <c r="AB12" s="10" t="s">
        <v>30</v>
      </c>
      <c r="AC12" s="8">
        <v>1634</v>
      </c>
    </row>
    <row r="13" spans="1:29" x14ac:dyDescent="0.35">
      <c r="H13" s="10" t="s">
        <v>10</v>
      </c>
      <c r="I13" s="8">
        <v>99198</v>
      </c>
      <c r="J13" s="16">
        <v>3.543730363349791E-2</v>
      </c>
      <c r="O13" s="9" t="s">
        <v>1</v>
      </c>
      <c r="P13" t="s">
        <v>101</v>
      </c>
      <c r="S13" s="22" t="s">
        <v>0</v>
      </c>
      <c r="T13" s="23" t="s">
        <v>28</v>
      </c>
      <c r="AB13" s="10" t="s">
        <v>100</v>
      </c>
      <c r="AC13" s="8">
        <v>195266</v>
      </c>
    </row>
    <row r="14" spans="1:29" x14ac:dyDescent="0.35">
      <c r="H14" s="10" t="s">
        <v>11</v>
      </c>
      <c r="I14" s="8">
        <v>102489</v>
      </c>
      <c r="J14" s="16">
        <v>3.3176072098227788E-2</v>
      </c>
      <c r="O14" s="9" t="s">
        <v>2</v>
      </c>
      <c r="P14" t="s">
        <v>35</v>
      </c>
      <c r="S14" s="22" t="s">
        <v>2</v>
      </c>
      <c r="T14" s="23" t="s">
        <v>101</v>
      </c>
    </row>
    <row r="15" spans="1:29" x14ac:dyDescent="0.35">
      <c r="H15" s="10" t="s">
        <v>12</v>
      </c>
      <c r="I15" s="8">
        <v>106605</v>
      </c>
      <c r="J15" s="16">
        <v>4.0160407458361386E-2</v>
      </c>
      <c r="S15" s="18"/>
      <c r="T15" s="17"/>
    </row>
    <row r="16" spans="1:29" x14ac:dyDescent="0.35">
      <c r="H16" s="10" t="s">
        <v>13</v>
      </c>
      <c r="I16" s="8">
        <v>110503</v>
      </c>
      <c r="J16" s="16">
        <v>3.6564889076497353E-2</v>
      </c>
      <c r="O16" s="9" t="s">
        <v>99</v>
      </c>
      <c r="P16" t="s">
        <v>98</v>
      </c>
      <c r="S16" s="24" t="s">
        <v>98</v>
      </c>
      <c r="T16" s="17"/>
    </row>
    <row r="17" spans="8:28" x14ac:dyDescent="0.35">
      <c r="H17" s="10" t="s">
        <v>14</v>
      </c>
      <c r="I17" s="8">
        <v>114541</v>
      </c>
      <c r="J17" s="16">
        <v>3.6541994334995428E-2</v>
      </c>
      <c r="O17" s="10" t="s">
        <v>4</v>
      </c>
      <c r="P17" s="16"/>
      <c r="S17" s="25">
        <v>195266</v>
      </c>
      <c r="T17" s="17"/>
    </row>
    <row r="18" spans="8:28" x14ac:dyDescent="0.35">
      <c r="H18" s="10" t="s">
        <v>15</v>
      </c>
      <c r="I18" s="8">
        <v>119185</v>
      </c>
      <c r="J18" s="16">
        <v>4.0544433870841008E-2</v>
      </c>
      <c r="O18" s="10" t="s">
        <v>7</v>
      </c>
      <c r="P18" s="16">
        <v>1.1352418558736426E-2</v>
      </c>
      <c r="S18" s="20" t="s">
        <v>111</v>
      </c>
      <c r="T18" s="17"/>
    </row>
    <row r="19" spans="8:28" x14ac:dyDescent="0.35">
      <c r="H19" s="10" t="s">
        <v>16</v>
      </c>
      <c r="I19" s="8">
        <v>124146</v>
      </c>
      <c r="J19" s="16">
        <v>4.16243654822335E-2</v>
      </c>
      <c r="O19" s="10" t="s">
        <v>8</v>
      </c>
      <c r="P19" s="16">
        <v>8.6220920774361474E-3</v>
      </c>
      <c r="S19" s="21">
        <f>GETPIVOTDATA("Milk",$O$8)/GETPIVOTDATA("Milk",$S$16)</f>
        <v>0.12009259164421865</v>
      </c>
      <c r="T19" s="19"/>
    </row>
    <row r="20" spans="8:28" x14ac:dyDescent="0.35">
      <c r="H20" s="10" t="s">
        <v>17</v>
      </c>
      <c r="I20" s="8">
        <v>128435</v>
      </c>
      <c r="J20" s="16">
        <v>3.4548032155687657E-2</v>
      </c>
      <c r="O20" s="10" t="s">
        <v>9</v>
      </c>
      <c r="P20" s="16">
        <v>2.2096774193548389E-2</v>
      </c>
    </row>
    <row r="21" spans="8:28" x14ac:dyDescent="0.35">
      <c r="H21" s="10" t="s">
        <v>18</v>
      </c>
      <c r="I21" s="8">
        <v>132962</v>
      </c>
      <c r="J21" s="16">
        <v>3.5247401409273175E-2</v>
      </c>
      <c r="O21" s="10" t="s">
        <v>10</v>
      </c>
      <c r="P21" s="16">
        <v>0.12387565093893009</v>
      </c>
    </row>
    <row r="22" spans="8:28" x14ac:dyDescent="0.35">
      <c r="H22" s="10" t="s">
        <v>19</v>
      </c>
      <c r="I22" s="8">
        <v>134743</v>
      </c>
      <c r="J22" s="16">
        <v>1.339480453061777E-2</v>
      </c>
      <c r="O22" s="10" t="s">
        <v>11</v>
      </c>
      <c r="P22" s="16">
        <v>1.4181409716371806E-2</v>
      </c>
    </row>
    <row r="23" spans="8:28" x14ac:dyDescent="0.35">
      <c r="H23" s="10" t="s">
        <v>20</v>
      </c>
      <c r="I23" s="8">
        <v>141435</v>
      </c>
      <c r="J23" s="16">
        <v>4.9664917658060158E-2</v>
      </c>
      <c r="O23" s="10" t="s">
        <v>12</v>
      </c>
      <c r="P23" s="16">
        <v>2.9766025197286446E-2</v>
      </c>
    </row>
    <row r="24" spans="8:28" x14ac:dyDescent="0.35">
      <c r="H24" s="10" t="s">
        <v>21</v>
      </c>
      <c r="I24" s="8">
        <v>147632</v>
      </c>
      <c r="J24" s="16">
        <v>4.381518011807544E-2</v>
      </c>
      <c r="O24" s="10" t="s">
        <v>13</v>
      </c>
      <c r="P24" s="16">
        <v>4.3694541543425655E-2</v>
      </c>
    </row>
    <row r="25" spans="8:28" x14ac:dyDescent="0.35">
      <c r="H25" s="10" t="s">
        <v>22</v>
      </c>
      <c r="I25" s="8">
        <v>155639</v>
      </c>
      <c r="J25" s="16">
        <v>5.4236208951988732E-2</v>
      </c>
      <c r="O25" s="10" t="s">
        <v>14</v>
      </c>
      <c r="P25" s="16">
        <v>4.6373824552363774E-2</v>
      </c>
    </row>
    <row r="26" spans="8:28" x14ac:dyDescent="0.35">
      <c r="H26" s="10" t="s">
        <v>23</v>
      </c>
      <c r="I26" s="8">
        <v>163768</v>
      </c>
      <c r="J26" s="16">
        <v>5.2229839564633541E-2</v>
      </c>
      <c r="O26" s="10" t="s">
        <v>15</v>
      </c>
      <c r="P26" s="16">
        <v>5.1705035085559521E-2</v>
      </c>
    </row>
    <row r="27" spans="8:28" x14ac:dyDescent="0.35">
      <c r="H27" s="10" t="s">
        <v>24</v>
      </c>
      <c r="I27" s="8">
        <v>170789</v>
      </c>
      <c r="J27" s="16">
        <v>4.2871623271945679E-2</v>
      </c>
      <c r="O27" s="10" t="s">
        <v>16</v>
      </c>
      <c r="P27" s="16">
        <v>8.486480159194662E-2</v>
      </c>
    </row>
    <row r="28" spans="8:28" x14ac:dyDescent="0.35">
      <c r="H28" s="10" t="s">
        <v>25</v>
      </c>
      <c r="I28" s="8">
        <v>177411</v>
      </c>
      <c r="J28" s="16">
        <v>3.8772988892727282E-2</v>
      </c>
      <c r="O28" s="10" t="s">
        <v>17</v>
      </c>
      <c r="P28" s="16">
        <v>7.9197237807509716E-2</v>
      </c>
    </row>
    <row r="29" spans="8:28" x14ac:dyDescent="0.35">
      <c r="H29" s="10" t="s">
        <v>26</v>
      </c>
      <c r="I29" s="8">
        <v>184336.8</v>
      </c>
      <c r="J29" s="16">
        <v>3.9038165615435279E-2</v>
      </c>
      <c r="O29" s="10" t="s">
        <v>18</v>
      </c>
      <c r="P29" s="16">
        <v>8.0583883223355329E-2</v>
      </c>
    </row>
    <row r="30" spans="8:28" x14ac:dyDescent="0.35">
      <c r="H30" s="10" t="s">
        <v>27</v>
      </c>
      <c r="I30" s="8">
        <v>190142</v>
      </c>
      <c r="J30" s="16">
        <v>3.1492355297477292E-2</v>
      </c>
      <c r="O30" s="10" t="s">
        <v>19</v>
      </c>
      <c r="P30" s="16">
        <v>0.11130643967431532</v>
      </c>
    </row>
    <row r="31" spans="8:28" x14ac:dyDescent="0.35">
      <c r="H31" s="10" t="s">
        <v>28</v>
      </c>
      <c r="I31" s="8">
        <v>195266</v>
      </c>
      <c r="J31" s="16">
        <v>2.6948280758590949E-2</v>
      </c>
      <c r="O31" s="10" t="s">
        <v>20</v>
      </c>
      <c r="P31" s="16">
        <v>0.11772541836649737</v>
      </c>
      <c r="AA31" s="9" t="s">
        <v>2</v>
      </c>
      <c r="AB31" t="s">
        <v>35</v>
      </c>
    </row>
    <row r="32" spans="8:28" x14ac:dyDescent="0.35">
      <c r="H32" s="10" t="s">
        <v>100</v>
      </c>
      <c r="I32" s="8">
        <v>3062914.8</v>
      </c>
      <c r="J32" s="16"/>
      <c r="O32" s="10" t="s">
        <v>21</v>
      </c>
      <c r="P32" s="16">
        <v>0.10383612662942272</v>
      </c>
    </row>
    <row r="33" spans="1:28" x14ac:dyDescent="0.35">
      <c r="O33" s="10" t="s">
        <v>22</v>
      </c>
      <c r="P33" s="16">
        <v>9.1976516634050876E-2</v>
      </c>
      <c r="AA33" s="9" t="s">
        <v>99</v>
      </c>
      <c r="AB33" t="s">
        <v>122</v>
      </c>
    </row>
    <row r="34" spans="1:28" x14ac:dyDescent="0.35">
      <c r="O34" s="10" t="s">
        <v>23</v>
      </c>
      <c r="P34" s="16">
        <v>8.0088987764182426E-2</v>
      </c>
      <c r="AA34" s="10" t="s">
        <v>34</v>
      </c>
      <c r="AB34" s="16">
        <v>1.6716981132075472</v>
      </c>
    </row>
    <row r="35" spans="1:28" x14ac:dyDescent="0.35">
      <c r="O35" s="10" t="s">
        <v>24</v>
      </c>
      <c r="P35" s="16">
        <v>7.4779723080443991E-2</v>
      </c>
      <c r="AA35" s="10" t="s">
        <v>46</v>
      </c>
      <c r="AB35" s="16">
        <v>3.0367215597198562</v>
      </c>
    </row>
    <row r="36" spans="1:28" x14ac:dyDescent="0.35">
      <c r="O36" s="10" t="s">
        <v>25</v>
      </c>
      <c r="P36" s="16">
        <v>5.1157838701091293E-2</v>
      </c>
      <c r="AA36" s="10" t="s">
        <v>100</v>
      </c>
      <c r="AB36" s="8">
        <v>4.7084196729274037</v>
      </c>
    </row>
    <row r="37" spans="1:28" x14ac:dyDescent="0.35">
      <c r="O37" s="10" t="s">
        <v>26</v>
      </c>
      <c r="P37" s="16">
        <v>5.6011344069684998E-2</v>
      </c>
    </row>
    <row r="38" spans="1:28" x14ac:dyDescent="0.35">
      <c r="O38" s="10" t="s">
        <v>27</v>
      </c>
      <c r="P38" s="16">
        <v>5.8795319393823132E-2</v>
      </c>
    </row>
    <row r="39" spans="1:28" x14ac:dyDescent="0.35">
      <c r="O39" s="10" t="s">
        <v>28</v>
      </c>
      <c r="P39" s="16">
        <v>6.2143310082435003E-2</v>
      </c>
    </row>
    <row r="40" spans="1:28" x14ac:dyDescent="0.35">
      <c r="O40" s="10" t="s">
        <v>100</v>
      </c>
      <c r="P40" s="16"/>
    </row>
    <row r="41" spans="1:28" x14ac:dyDescent="0.35">
      <c r="O41" s="10" t="s">
        <v>112</v>
      </c>
      <c r="P41" s="16">
        <f>AVERAGE(P17:P39)</f>
        <v>6.3824305403746229E-2</v>
      </c>
    </row>
    <row r="45" spans="1:28" x14ac:dyDescent="0.35">
      <c r="A45" s="50" t="s">
        <v>103</v>
      </c>
      <c r="B45" s="51"/>
    </row>
    <row r="48" spans="1:28" x14ac:dyDescent="0.35">
      <c r="A48" s="9" t="s">
        <v>0</v>
      </c>
      <c r="B48" t="s">
        <v>28</v>
      </c>
    </row>
    <row r="50" spans="1:20" x14ac:dyDescent="0.35">
      <c r="A50" s="9" t="s">
        <v>99</v>
      </c>
      <c r="B50" t="s">
        <v>98</v>
      </c>
      <c r="C50" t="s">
        <v>104</v>
      </c>
    </row>
    <row r="51" spans="1:20" x14ac:dyDescent="0.35">
      <c r="A51" s="10" t="s">
        <v>40</v>
      </c>
      <c r="B51" s="8">
        <v>61120</v>
      </c>
      <c r="C51" s="16">
        <v>0</v>
      </c>
      <c r="E51" s="10" t="s">
        <v>2</v>
      </c>
      <c r="F51" s="16" t="s">
        <v>121</v>
      </c>
    </row>
    <row r="52" spans="1:20" x14ac:dyDescent="0.35">
      <c r="A52" s="10" t="s">
        <v>6</v>
      </c>
      <c r="B52" s="8">
        <v>47874</v>
      </c>
      <c r="C52" s="16">
        <v>0</v>
      </c>
      <c r="E52" s="10" t="s">
        <v>30</v>
      </c>
      <c r="F52" s="16">
        <v>2.6298224043859723E-2</v>
      </c>
    </row>
    <row r="53" spans="1:20" x14ac:dyDescent="0.35">
      <c r="A53" s="10" t="s">
        <v>37</v>
      </c>
      <c r="B53" s="8">
        <v>34421</v>
      </c>
      <c r="C53" s="16">
        <v>0</v>
      </c>
      <c r="E53" s="10" t="s">
        <v>40</v>
      </c>
      <c r="F53" s="16">
        <v>3.5650787985902009E-2</v>
      </c>
    </row>
    <row r="54" spans="1:20" x14ac:dyDescent="0.35">
      <c r="A54" s="10" t="s">
        <v>33</v>
      </c>
      <c r="B54" s="8">
        <v>26767</v>
      </c>
      <c r="C54" s="16">
        <v>0</v>
      </c>
      <c r="E54" s="10" t="s">
        <v>6</v>
      </c>
      <c r="F54" s="16">
        <v>4.442670406928844E-2</v>
      </c>
      <c r="O54" s="9" t="s">
        <v>0</v>
      </c>
      <c r="P54" t="s">
        <v>28</v>
      </c>
    </row>
    <row r="55" spans="1:20" x14ac:dyDescent="0.35">
      <c r="A55" s="10" t="s">
        <v>35</v>
      </c>
      <c r="B55" s="8">
        <v>23450</v>
      </c>
      <c r="C55" s="16">
        <v>0</v>
      </c>
      <c r="E55" s="10" t="s">
        <v>37</v>
      </c>
      <c r="F55" s="16">
        <v>6.0565048724340105E-2</v>
      </c>
    </row>
    <row r="56" spans="1:20" x14ac:dyDescent="0.35">
      <c r="A56" s="10" t="s">
        <v>30</v>
      </c>
      <c r="B56" s="8">
        <v>1634</v>
      </c>
      <c r="C56" s="16">
        <v>0</v>
      </c>
      <c r="E56" s="10" t="s">
        <v>33</v>
      </c>
      <c r="F56" s="16">
        <v>9.2977624553891525E-2</v>
      </c>
      <c r="O56" s="9" t="s">
        <v>99</v>
      </c>
      <c r="P56" t="s">
        <v>98</v>
      </c>
    </row>
    <row r="57" spans="1:20" x14ac:dyDescent="0.35">
      <c r="A57" s="10" t="s">
        <v>100</v>
      </c>
      <c r="B57" s="8">
        <v>195266</v>
      </c>
      <c r="C57" s="16">
        <v>0</v>
      </c>
      <c r="E57" s="10" t="s">
        <v>35</v>
      </c>
      <c r="F57" s="16">
        <v>0.1023569494114653</v>
      </c>
      <c r="O57" s="10" t="s">
        <v>59</v>
      </c>
      <c r="P57" s="8">
        <v>25611</v>
      </c>
      <c r="S57" s="26" t="s">
        <v>96</v>
      </c>
      <c r="T57" s="27" t="s">
        <v>120</v>
      </c>
    </row>
    <row r="58" spans="1:20" x14ac:dyDescent="0.35">
      <c r="O58" s="10" t="s">
        <v>46</v>
      </c>
      <c r="P58" s="8">
        <v>21326</v>
      </c>
      <c r="S58" s="26" t="s">
        <v>119</v>
      </c>
      <c r="T58" s="27">
        <v>99978</v>
      </c>
    </row>
    <row r="59" spans="1:20" x14ac:dyDescent="0.35">
      <c r="O59" s="10" t="s">
        <v>38</v>
      </c>
      <c r="P59" s="8">
        <v>18312</v>
      </c>
      <c r="S59" s="26" t="s">
        <v>59</v>
      </c>
      <c r="T59" s="27">
        <v>25611</v>
      </c>
    </row>
    <row r="60" spans="1:20" x14ac:dyDescent="0.35">
      <c r="O60" s="10" t="s">
        <v>47</v>
      </c>
      <c r="P60" s="8">
        <v>16045</v>
      </c>
      <c r="S60" s="26" t="s">
        <v>46</v>
      </c>
      <c r="T60" s="27">
        <v>21326</v>
      </c>
    </row>
    <row r="61" spans="1:20" x14ac:dyDescent="0.35">
      <c r="O61" s="10" t="s">
        <v>5</v>
      </c>
      <c r="P61" s="8">
        <v>13994</v>
      </c>
      <c r="S61" s="26" t="s">
        <v>38</v>
      </c>
      <c r="T61" s="27">
        <v>18312</v>
      </c>
    </row>
    <row r="62" spans="1:20" x14ac:dyDescent="0.35">
      <c r="A62" s="50" t="s">
        <v>105</v>
      </c>
      <c r="B62" s="51"/>
      <c r="O62" s="10" t="s">
        <v>44</v>
      </c>
      <c r="P62" s="8">
        <v>13463</v>
      </c>
      <c r="S62" s="26" t="s">
        <v>47</v>
      </c>
      <c r="T62" s="27">
        <v>16045</v>
      </c>
    </row>
    <row r="63" spans="1:20" x14ac:dyDescent="0.35">
      <c r="O63" s="10" t="s">
        <v>32</v>
      </c>
      <c r="P63" s="8">
        <v>12853</v>
      </c>
      <c r="S63" s="28" t="s">
        <v>5</v>
      </c>
      <c r="T63" s="29">
        <v>13994</v>
      </c>
    </row>
    <row r="64" spans="1:20" x14ac:dyDescent="0.35">
      <c r="A64" s="9" t="s">
        <v>1</v>
      </c>
      <c r="B64" t="s">
        <v>101</v>
      </c>
      <c r="H64" s="9" t="s">
        <v>1</v>
      </c>
      <c r="I64" t="s">
        <v>101</v>
      </c>
      <c r="O64" s="10" t="s">
        <v>39</v>
      </c>
      <c r="P64" s="8">
        <v>12220</v>
      </c>
    </row>
    <row r="65" spans="1:16" x14ac:dyDescent="0.35">
      <c r="A65" s="9" t="s">
        <v>2</v>
      </c>
      <c r="B65" t="s">
        <v>35</v>
      </c>
      <c r="H65" s="9" t="s">
        <v>2</v>
      </c>
      <c r="I65" t="s">
        <v>35</v>
      </c>
      <c r="O65" s="10" t="s">
        <v>57</v>
      </c>
      <c r="P65" s="8">
        <v>9997</v>
      </c>
    </row>
    <row r="66" spans="1:16" x14ac:dyDescent="0.35">
      <c r="O66" s="10" t="s">
        <v>53</v>
      </c>
      <c r="P66" s="8">
        <v>9027</v>
      </c>
    </row>
    <row r="67" spans="1:16" x14ac:dyDescent="0.35">
      <c r="A67" s="9" t="s">
        <v>99</v>
      </c>
      <c r="B67" t="s">
        <v>116</v>
      </c>
      <c r="H67" s="9" t="s">
        <v>99</v>
      </c>
      <c r="I67" t="s">
        <v>115</v>
      </c>
      <c r="O67" s="10" t="s">
        <v>61</v>
      </c>
      <c r="P67" s="8">
        <v>8253</v>
      </c>
    </row>
    <row r="68" spans="1:16" x14ac:dyDescent="0.35">
      <c r="A68" s="10" t="s">
        <v>4</v>
      </c>
      <c r="B68" s="8">
        <v>6078</v>
      </c>
      <c r="H68" s="10" t="s">
        <v>4</v>
      </c>
      <c r="I68" s="16"/>
      <c r="O68" s="10" t="s">
        <v>56</v>
      </c>
      <c r="P68" s="8">
        <v>7840</v>
      </c>
    </row>
    <row r="69" spans="1:16" x14ac:dyDescent="0.35">
      <c r="A69" s="10" t="s">
        <v>7</v>
      </c>
      <c r="B69" s="8">
        <v>6147</v>
      </c>
      <c r="H69" s="10" t="s">
        <v>7</v>
      </c>
      <c r="I69" s="16">
        <v>1.1352418558736426E-2</v>
      </c>
      <c r="O69" s="10" t="s">
        <v>54</v>
      </c>
      <c r="P69" s="8">
        <v>7028</v>
      </c>
    </row>
    <row r="70" spans="1:16" x14ac:dyDescent="0.35">
      <c r="A70" s="10" t="s">
        <v>8</v>
      </c>
      <c r="B70" s="8">
        <v>6200</v>
      </c>
      <c r="H70" s="10" t="s">
        <v>8</v>
      </c>
      <c r="I70" s="16">
        <v>8.6220920774361474E-3</v>
      </c>
      <c r="O70" s="10" t="s">
        <v>43</v>
      </c>
      <c r="P70" s="8">
        <v>3025</v>
      </c>
    </row>
    <row r="71" spans="1:16" x14ac:dyDescent="0.35">
      <c r="A71" s="10" t="s">
        <v>9</v>
      </c>
      <c r="B71" s="8">
        <v>6337</v>
      </c>
      <c r="H71" s="10" t="s">
        <v>9</v>
      </c>
      <c r="I71" s="16">
        <v>2.2096774193548389E-2</v>
      </c>
      <c r="O71" s="10" t="s">
        <v>42</v>
      </c>
      <c r="P71" s="8">
        <v>2875</v>
      </c>
    </row>
    <row r="72" spans="1:16" x14ac:dyDescent="0.35">
      <c r="A72" s="10" t="s">
        <v>10</v>
      </c>
      <c r="B72" s="8">
        <v>7122</v>
      </c>
      <c r="H72" s="10" t="s">
        <v>10</v>
      </c>
      <c r="I72" s="16">
        <v>0.12387565093893009</v>
      </c>
      <c r="O72" s="10" t="s">
        <v>52</v>
      </c>
      <c r="P72" s="8">
        <v>2636</v>
      </c>
    </row>
    <row r="73" spans="1:16" x14ac:dyDescent="0.35">
      <c r="A73" s="10" t="s">
        <v>11</v>
      </c>
      <c r="B73" s="8">
        <v>7223</v>
      </c>
      <c r="H73" s="10" t="s">
        <v>11</v>
      </c>
      <c r="I73" s="16">
        <v>1.4181409716371806E-2</v>
      </c>
      <c r="O73" s="10" t="s">
        <v>45</v>
      </c>
      <c r="P73" s="8">
        <v>2580</v>
      </c>
    </row>
    <row r="74" spans="1:16" x14ac:dyDescent="0.35">
      <c r="A74" s="10" t="s">
        <v>12</v>
      </c>
      <c r="B74" s="8">
        <v>7438</v>
      </c>
      <c r="H74" s="10" t="s">
        <v>12</v>
      </c>
      <c r="I74" s="16">
        <v>2.9766025197286446E-2</v>
      </c>
      <c r="O74" s="10" t="s">
        <v>34</v>
      </c>
      <c r="P74" s="8">
        <v>2124</v>
      </c>
    </row>
    <row r="75" spans="1:16" x14ac:dyDescent="0.35">
      <c r="A75" s="10" t="s">
        <v>13</v>
      </c>
      <c r="B75" s="8">
        <v>7763</v>
      </c>
      <c r="H75" s="10" t="s">
        <v>13</v>
      </c>
      <c r="I75" s="16">
        <v>4.3694541543425655E-2</v>
      </c>
      <c r="O75" s="10" t="s">
        <v>60</v>
      </c>
      <c r="P75" s="8">
        <v>1875</v>
      </c>
    </row>
    <row r="76" spans="1:16" x14ac:dyDescent="0.35">
      <c r="A76" s="10" t="s">
        <v>14</v>
      </c>
      <c r="B76" s="8">
        <v>8123</v>
      </c>
      <c r="H76" s="10" t="s">
        <v>14</v>
      </c>
      <c r="I76" s="16">
        <v>4.6373824552363774E-2</v>
      </c>
      <c r="O76" s="10" t="s">
        <v>41</v>
      </c>
      <c r="P76" s="8">
        <v>1749</v>
      </c>
    </row>
    <row r="77" spans="1:16" x14ac:dyDescent="0.35">
      <c r="A77" s="10" t="s">
        <v>15</v>
      </c>
      <c r="B77" s="8">
        <v>8543</v>
      </c>
      <c r="H77" s="10" t="s">
        <v>15</v>
      </c>
      <c r="I77" s="16">
        <v>5.1705035085559521E-2</v>
      </c>
      <c r="O77" s="10" t="s">
        <v>31</v>
      </c>
      <c r="P77" s="8">
        <v>1092</v>
      </c>
    </row>
    <row r="78" spans="1:16" x14ac:dyDescent="0.35">
      <c r="A78" s="10" t="s">
        <v>16</v>
      </c>
      <c r="B78" s="8">
        <v>9268</v>
      </c>
      <c r="H78" s="10" t="s">
        <v>16</v>
      </c>
      <c r="I78" s="16">
        <v>8.486480159194662E-2</v>
      </c>
      <c r="O78" s="10" t="s">
        <v>62</v>
      </c>
      <c r="P78" s="8">
        <v>735</v>
      </c>
    </row>
    <row r="79" spans="1:16" x14ac:dyDescent="0.35">
      <c r="A79" s="10" t="s">
        <v>17</v>
      </c>
      <c r="B79" s="8">
        <v>10002</v>
      </c>
      <c r="H79" s="10" t="s">
        <v>17</v>
      </c>
      <c r="I79" s="16">
        <v>7.9197237807509716E-2</v>
      </c>
      <c r="O79" s="10" t="s">
        <v>58</v>
      </c>
      <c r="P79" s="8">
        <v>273</v>
      </c>
    </row>
    <row r="80" spans="1:16" x14ac:dyDescent="0.35">
      <c r="A80" s="10" t="s">
        <v>18</v>
      </c>
      <c r="B80" s="8">
        <v>10808</v>
      </c>
      <c r="H80" s="10" t="s">
        <v>18</v>
      </c>
      <c r="I80" s="16">
        <v>8.0583883223355329E-2</v>
      </c>
      <c r="O80" s="10" t="s">
        <v>49</v>
      </c>
      <c r="P80" s="8">
        <v>97</v>
      </c>
    </row>
    <row r="81" spans="1:16" x14ac:dyDescent="0.35">
      <c r="A81" s="10" t="s">
        <v>19</v>
      </c>
      <c r="B81" s="8">
        <v>12011</v>
      </c>
      <c r="H81" s="10" t="s">
        <v>19</v>
      </c>
      <c r="I81" s="16">
        <v>0.11130643967431532</v>
      </c>
      <c r="O81" s="10" t="s">
        <v>36</v>
      </c>
      <c r="P81" s="8">
        <v>64</v>
      </c>
    </row>
    <row r="82" spans="1:16" x14ac:dyDescent="0.35">
      <c r="A82" s="10" t="s">
        <v>20</v>
      </c>
      <c r="B82" s="8">
        <v>13425</v>
      </c>
      <c r="H82" s="10" t="s">
        <v>20</v>
      </c>
      <c r="I82" s="16">
        <v>0.11772541836649737</v>
      </c>
      <c r="O82" s="10" t="s">
        <v>48</v>
      </c>
      <c r="P82" s="8">
        <v>63</v>
      </c>
    </row>
    <row r="83" spans="1:16" x14ac:dyDescent="0.35">
      <c r="A83" s="10" t="s">
        <v>21</v>
      </c>
      <c r="B83" s="8">
        <v>14819</v>
      </c>
      <c r="H83" s="10" t="s">
        <v>21</v>
      </c>
      <c r="I83" s="16">
        <v>0.10383612662942272</v>
      </c>
      <c r="O83" s="10" t="s">
        <v>51</v>
      </c>
      <c r="P83" s="8">
        <v>53</v>
      </c>
    </row>
    <row r="84" spans="1:16" x14ac:dyDescent="0.35">
      <c r="A84" s="10" t="s">
        <v>22</v>
      </c>
      <c r="B84" s="8">
        <v>16182</v>
      </c>
      <c r="H84" s="10" t="s">
        <v>22</v>
      </c>
      <c r="I84" s="16">
        <v>9.1976516634050876E-2</v>
      </c>
      <c r="O84" s="10" t="s">
        <v>55</v>
      </c>
      <c r="P84" s="8">
        <v>36</v>
      </c>
    </row>
    <row r="85" spans="1:16" x14ac:dyDescent="0.35">
      <c r="A85" s="10" t="s">
        <v>23</v>
      </c>
      <c r="B85" s="8">
        <v>17478</v>
      </c>
      <c r="H85" s="10" t="s">
        <v>23</v>
      </c>
      <c r="I85" s="16">
        <v>8.0088987764182426E-2</v>
      </c>
      <c r="O85" s="10" t="s">
        <v>29</v>
      </c>
      <c r="P85" s="8">
        <v>20</v>
      </c>
    </row>
    <row r="86" spans="1:16" x14ac:dyDescent="0.35">
      <c r="A86" s="10" t="s">
        <v>24</v>
      </c>
      <c r="B86" s="8">
        <v>18785</v>
      </c>
      <c r="H86" s="10" t="s">
        <v>24</v>
      </c>
      <c r="I86" s="16">
        <v>7.4779723080443991E-2</v>
      </c>
      <c r="O86" s="10" t="s">
        <v>100</v>
      </c>
      <c r="P86" s="8">
        <v>195266</v>
      </c>
    </row>
    <row r="87" spans="1:16" x14ac:dyDescent="0.35">
      <c r="A87" s="10" t="s">
        <v>25</v>
      </c>
      <c r="B87" s="8">
        <v>19746</v>
      </c>
      <c r="H87" s="10" t="s">
        <v>25</v>
      </c>
      <c r="I87" s="16">
        <v>5.1157838701091293E-2</v>
      </c>
    </row>
    <row r="88" spans="1:16" x14ac:dyDescent="0.35">
      <c r="A88" s="10" t="s">
        <v>26</v>
      </c>
      <c r="B88" s="8">
        <v>20852</v>
      </c>
      <c r="H88" s="10" t="s">
        <v>26</v>
      </c>
      <c r="I88" s="16">
        <v>5.6011344069684998E-2</v>
      </c>
    </row>
    <row r="89" spans="1:16" x14ac:dyDescent="0.35">
      <c r="A89" s="10" t="s">
        <v>27</v>
      </c>
      <c r="B89" s="8">
        <v>22078</v>
      </c>
      <c r="H89" s="10" t="s">
        <v>27</v>
      </c>
      <c r="I89" s="16">
        <v>5.8795319393823132E-2</v>
      </c>
    </row>
    <row r="90" spans="1:16" x14ac:dyDescent="0.35">
      <c r="A90" s="10" t="s">
        <v>28</v>
      </c>
      <c r="B90" s="8">
        <v>23450</v>
      </c>
      <c r="H90" s="10" t="s">
        <v>28</v>
      </c>
      <c r="I90" s="16">
        <v>6.2143310082435003E-2</v>
      </c>
    </row>
    <row r="91" spans="1:16" x14ac:dyDescent="0.35">
      <c r="A91" s="10" t="s">
        <v>100</v>
      </c>
      <c r="B91" s="8">
        <v>279878</v>
      </c>
      <c r="H91" s="10" t="s">
        <v>100</v>
      </c>
      <c r="I91" s="16"/>
    </row>
    <row r="98" spans="1:3" x14ac:dyDescent="0.35">
      <c r="A98" s="52" t="s">
        <v>108</v>
      </c>
      <c r="B98" s="53"/>
      <c r="C98" s="53"/>
    </row>
    <row r="102" spans="1:3" x14ac:dyDescent="0.35">
      <c r="A102" s="9" t="s">
        <v>1</v>
      </c>
      <c r="B102" t="s">
        <v>101</v>
      </c>
    </row>
    <row r="103" spans="1:3" x14ac:dyDescent="0.35">
      <c r="A103" s="9" t="s">
        <v>2</v>
      </c>
      <c r="B103" t="s">
        <v>35</v>
      </c>
    </row>
    <row r="105" spans="1:3" x14ac:dyDescent="0.35">
      <c r="A105" s="9" t="s">
        <v>99</v>
      </c>
      <c r="B105" t="s">
        <v>113</v>
      </c>
      <c r="C105" t="s">
        <v>114</v>
      </c>
    </row>
    <row r="106" spans="1:3" x14ac:dyDescent="0.35">
      <c r="A106" s="10" t="s">
        <v>4</v>
      </c>
      <c r="B106" s="16"/>
      <c r="C106" s="16"/>
    </row>
    <row r="107" spans="1:3" x14ac:dyDescent="0.35">
      <c r="A107" s="10" t="s">
        <v>7</v>
      </c>
      <c r="B107" s="16">
        <v>1.1352418558736426E-2</v>
      </c>
      <c r="C107" s="16">
        <v>-0.12059925093632953</v>
      </c>
    </row>
    <row r="108" spans="1:3" x14ac:dyDescent="0.35">
      <c r="A108" s="10" t="s">
        <v>8</v>
      </c>
      <c r="B108" s="16">
        <v>8.6220920774361474E-3</v>
      </c>
      <c r="C108" s="16">
        <v>-0.14923686680805201</v>
      </c>
    </row>
    <row r="109" spans="1:3" x14ac:dyDescent="0.35">
      <c r="A109" s="10" t="s">
        <v>9</v>
      </c>
      <c r="B109" s="16">
        <v>2.2096774193548389E-2</v>
      </c>
      <c r="C109" s="16">
        <v>-0.17870497129196386</v>
      </c>
    </row>
    <row r="110" spans="1:3" x14ac:dyDescent="0.35">
      <c r="A110" s="10" t="s">
        <v>10</v>
      </c>
      <c r="B110" s="16">
        <v>0.12387565093893009</v>
      </c>
      <c r="C110" s="16">
        <v>-0.20676701082224155</v>
      </c>
    </row>
    <row r="111" spans="1:3" x14ac:dyDescent="0.35">
      <c r="A111" s="10" t="s">
        <v>11</v>
      </c>
      <c r="B111" s="16">
        <v>1.4181409716371806E-2</v>
      </c>
      <c r="C111" s="16">
        <v>3.591142892987078E-2</v>
      </c>
    </row>
    <row r="112" spans="1:3" x14ac:dyDescent="0.35">
      <c r="A112" s="10" t="s">
        <v>12</v>
      </c>
      <c r="B112" s="16">
        <v>2.9766025197286446E-2</v>
      </c>
      <c r="C112" s="16">
        <v>3.9086863059735355E-2</v>
      </c>
    </row>
    <row r="113" spans="1:3" x14ac:dyDescent="0.35">
      <c r="A113" s="10" t="s">
        <v>13</v>
      </c>
      <c r="B113" s="16">
        <v>4.3694541543425655E-2</v>
      </c>
      <c r="C113" s="16">
        <v>4.5541958041958097E-2</v>
      </c>
    </row>
    <row r="114" spans="1:3" x14ac:dyDescent="0.35">
      <c r="A114" s="10" t="s">
        <v>14</v>
      </c>
      <c r="B114" s="16">
        <v>4.6373824552363774E-2</v>
      </c>
      <c r="C114" s="16">
        <v>4.9772872948192708E-2</v>
      </c>
    </row>
    <row r="115" spans="1:3" x14ac:dyDescent="0.35">
      <c r="A115" s="10" t="s">
        <v>15</v>
      </c>
      <c r="B115" s="16">
        <v>5.1705035085559521E-2</v>
      </c>
      <c r="C115" s="16">
        <v>3.7723326873556479E-2</v>
      </c>
    </row>
    <row r="116" spans="1:3" x14ac:dyDescent="0.35">
      <c r="A116" s="10" t="s">
        <v>16</v>
      </c>
      <c r="B116" s="16">
        <v>8.486480159194662E-2</v>
      </c>
      <c r="C116" s="16">
        <v>5.2315170120235358E-2</v>
      </c>
    </row>
    <row r="117" spans="1:3" x14ac:dyDescent="0.35">
      <c r="A117" s="10" t="s">
        <v>17</v>
      </c>
      <c r="B117" s="16">
        <v>7.9197237807509716E-2</v>
      </c>
      <c r="C117" s="16">
        <v>6.2331348000486335E-2</v>
      </c>
    </row>
    <row r="118" spans="1:3" x14ac:dyDescent="0.35">
      <c r="A118" s="10" t="s">
        <v>18</v>
      </c>
      <c r="B118" s="16">
        <v>8.0583883223355329E-2</v>
      </c>
      <c r="C118" s="16">
        <v>6.9681228403395745E-2</v>
      </c>
    </row>
    <row r="119" spans="1:3" x14ac:dyDescent="0.35">
      <c r="A119" s="10" t="s">
        <v>19</v>
      </c>
      <c r="B119" s="16">
        <v>0.11130643967431532</v>
      </c>
      <c r="C119" s="16">
        <v>8.3176450453534195E-2</v>
      </c>
    </row>
    <row r="120" spans="1:3" x14ac:dyDescent="0.35">
      <c r="A120" s="10" t="s">
        <v>20</v>
      </c>
      <c r="B120" s="16">
        <v>0.11772541836649737</v>
      </c>
      <c r="C120" s="16">
        <v>9.6421235582240625E-2</v>
      </c>
    </row>
    <row r="121" spans="1:3" x14ac:dyDescent="0.35">
      <c r="A121" s="10" t="s">
        <v>21</v>
      </c>
      <c r="B121" s="16">
        <v>0.10383612662942272</v>
      </c>
      <c r="C121" s="16">
        <v>9.9992794610368446E-2</v>
      </c>
    </row>
    <row r="122" spans="1:3" x14ac:dyDescent="0.35">
      <c r="A122" s="10" t="s">
        <v>22</v>
      </c>
      <c r="B122" s="16">
        <v>9.1976516634050876E-2</v>
      </c>
      <c r="C122" s="16">
        <v>0.1012036354704004</v>
      </c>
    </row>
    <row r="123" spans="1:3" x14ac:dyDescent="0.35">
      <c r="A123" s="10" t="s">
        <v>23</v>
      </c>
      <c r="B123" s="16">
        <v>8.0088987764182426E-2</v>
      </c>
      <c r="C123" s="16">
        <v>9.9189530820135333E-2</v>
      </c>
    </row>
    <row r="124" spans="1:3" x14ac:dyDescent="0.35">
      <c r="A124" s="10" t="s">
        <v>24</v>
      </c>
      <c r="B124" s="16">
        <v>7.4779723080443991E-2</v>
      </c>
      <c r="C124" s="16">
        <v>9.1645809375634255E-2</v>
      </c>
    </row>
    <row r="125" spans="1:3" x14ac:dyDescent="0.35">
      <c r="A125" s="10" t="s">
        <v>25</v>
      </c>
      <c r="B125" s="16">
        <v>5.1157838701091293E-2</v>
      </c>
      <c r="C125" s="16">
        <v>7.8337815563459631E-2</v>
      </c>
    </row>
    <row r="126" spans="1:3" x14ac:dyDescent="0.35">
      <c r="A126" s="10" t="s">
        <v>26</v>
      </c>
      <c r="B126" s="16">
        <v>5.6011344069684998E-2</v>
      </c>
      <c r="C126" s="16">
        <v>6.933685783243318E-2</v>
      </c>
    </row>
    <row r="127" spans="1:3" x14ac:dyDescent="0.35">
      <c r="A127" s="10" t="s">
        <v>27</v>
      </c>
      <c r="B127" s="16">
        <v>5.8795319393823132E-2</v>
      </c>
      <c r="C127" s="16">
        <v>6.3368550025256973E-2</v>
      </c>
    </row>
    <row r="128" spans="1:3" x14ac:dyDescent="0.35">
      <c r="A128" s="10" t="s">
        <v>28</v>
      </c>
      <c r="B128" s="16">
        <v>6.2143310082435003E-2</v>
      </c>
      <c r="C128" s="16">
        <v>6.0360424099697871E-2</v>
      </c>
    </row>
    <row r="129" spans="1:3" x14ac:dyDescent="0.35">
      <c r="A129" s="10" t="s">
        <v>100</v>
      </c>
      <c r="B129" s="16"/>
      <c r="C129" s="16"/>
    </row>
  </sheetData>
  <mergeCells count="4">
    <mergeCell ref="A1:B1"/>
    <mergeCell ref="A45:B45"/>
    <mergeCell ref="A62:B62"/>
    <mergeCell ref="A98:C98"/>
  </mergeCells>
  <pageMargins left="0.7" right="0.7" top="0.75" bottom="0.75" header="0.3" footer="0.3"/>
  <pageSetup orientation="portrait" r:id="rId14"/>
  <tableParts count="2">
    <tablePart r:id="rId15"/>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61"/>
  <sheetViews>
    <sheetView tabSelected="1" zoomScale="30" zoomScaleNormal="30" zoomScaleSheetLayoutView="30" zoomScalePageLayoutView="30" workbookViewId="0">
      <selection activeCell="AQ21" sqref="AQ21"/>
    </sheetView>
  </sheetViews>
  <sheetFormatPr defaultRowHeight="14.5" x14ac:dyDescent="0.35"/>
  <cols>
    <col min="1" max="1" width="17.7265625" bestFit="1" customWidth="1"/>
    <col min="2" max="2" width="15.26953125" bestFit="1" customWidth="1"/>
    <col min="3" max="3" width="7.453125" customWidth="1"/>
    <col min="4" max="4" width="3" customWidth="1"/>
    <col min="5" max="5" width="0.36328125" customWidth="1"/>
    <col min="6" max="6" width="7.453125" customWidth="1"/>
    <col min="7" max="7" width="38.81640625" customWidth="1"/>
    <col min="8" max="8" width="12.6328125" customWidth="1"/>
    <col min="9" max="9" width="14.08984375" customWidth="1"/>
    <col min="10" max="10" width="31.08984375" customWidth="1"/>
    <col min="11" max="11" width="11" customWidth="1"/>
    <col min="12" max="12" width="19.6328125" customWidth="1"/>
    <col min="13" max="13" width="25.08984375" customWidth="1"/>
    <col min="14" max="14" width="11.08984375" customWidth="1"/>
    <col min="15" max="15" width="25.7265625" customWidth="1"/>
    <col min="16" max="16" width="16.36328125" customWidth="1"/>
    <col min="17" max="21" width="7.453125" customWidth="1"/>
    <col min="22" max="22" width="8.81640625" customWidth="1"/>
    <col min="23" max="24" width="7.453125" customWidth="1"/>
    <col min="25" max="25" width="4.453125" customWidth="1"/>
    <col min="26" max="29" width="8.7265625" hidden="1" customWidth="1"/>
    <col min="30" max="30" width="15.36328125" hidden="1" customWidth="1"/>
    <col min="31" max="31" width="8.7265625" hidden="1" customWidth="1"/>
    <col min="32" max="32" width="8.7265625" customWidth="1"/>
    <col min="33" max="33" width="26.1796875" bestFit="1" customWidth="1"/>
    <col min="34" max="34" width="17.36328125" bestFit="1" customWidth="1"/>
    <col min="35" max="35" width="8.7265625" customWidth="1"/>
    <col min="36" max="36" width="24" bestFit="1" customWidth="1"/>
    <col min="37" max="37" width="24" customWidth="1"/>
    <col min="38" max="38" width="4.1796875" customWidth="1"/>
  </cols>
  <sheetData>
    <row r="1" spans="1:38" x14ac:dyDescent="0.35">
      <c r="A1" s="60" t="s">
        <v>125</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row>
    <row r="2" spans="1:38" x14ac:dyDescent="0.35">
      <c r="A2" s="60"/>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row>
    <row r="3" spans="1:38" x14ac:dyDescent="0.3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row>
    <row r="4" spans="1:38" x14ac:dyDescent="0.35">
      <c r="A4" s="60"/>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row>
    <row r="5" spans="1:38" x14ac:dyDescent="0.3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row>
    <row r="6" spans="1:38" s="35" customFormat="1" ht="28.5" customHeight="1" thickBot="1" x14ac:dyDescent="0.4">
      <c r="A6" s="61"/>
      <c r="B6" s="61"/>
      <c r="C6" s="61"/>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row>
    <row r="7" spans="1:38" ht="34" customHeight="1" thickBot="1" x14ac:dyDescent="0.4">
      <c r="A7" s="61"/>
      <c r="B7" s="61"/>
      <c r="C7" s="61"/>
      <c r="D7" s="34"/>
      <c r="F7" s="72" t="s">
        <v>128</v>
      </c>
      <c r="G7" s="73"/>
      <c r="H7" s="34"/>
      <c r="I7" s="62" t="s">
        <v>126</v>
      </c>
      <c r="J7" s="63"/>
      <c r="K7" s="34"/>
      <c r="L7" s="62" t="s">
        <v>127</v>
      </c>
      <c r="M7" s="63"/>
      <c r="N7" s="34"/>
      <c r="O7" s="62" t="s">
        <v>110</v>
      </c>
      <c r="P7" s="63"/>
      <c r="Q7" s="34"/>
      <c r="R7" s="54" t="s">
        <v>124</v>
      </c>
      <c r="S7" s="55"/>
      <c r="T7" s="55"/>
      <c r="U7" s="55"/>
      <c r="V7" s="55"/>
      <c r="W7" s="55"/>
      <c r="X7" s="55"/>
      <c r="Y7" s="55"/>
      <c r="Z7" s="55"/>
      <c r="AA7" s="55"/>
      <c r="AB7" s="55"/>
      <c r="AC7" s="55"/>
      <c r="AD7" s="55"/>
      <c r="AE7" s="55"/>
      <c r="AF7" s="55"/>
      <c r="AG7" s="55"/>
      <c r="AH7" s="55"/>
      <c r="AI7" s="55"/>
      <c r="AJ7" s="55"/>
      <c r="AK7" s="56"/>
      <c r="AL7" s="34"/>
    </row>
    <row r="8" spans="1:38" ht="38.5" customHeight="1" thickBot="1" x14ac:dyDescent="0.4">
      <c r="A8" s="61"/>
      <c r="B8" s="61"/>
      <c r="C8" s="61"/>
      <c r="D8" s="34"/>
      <c r="F8" s="70" t="str">
        <f>CONCATENATE(GETPIVOTDATA("Milk",Analysis!$O$8)," MT")</f>
        <v>23450 MT</v>
      </c>
      <c r="G8" s="71"/>
      <c r="H8" s="34"/>
      <c r="I8" s="74">
        <f>Analysis!P41</f>
        <v>6.3824305403746229E-2</v>
      </c>
      <c r="J8" s="75"/>
      <c r="K8" s="34"/>
      <c r="L8" s="74">
        <f>Analysis!S19</f>
        <v>0.12009259164421865</v>
      </c>
      <c r="M8" s="75"/>
      <c r="N8" s="34"/>
      <c r="O8" s="64" t="str">
        <f>Analysis!C7</f>
        <v>-</v>
      </c>
      <c r="P8" s="65"/>
      <c r="Q8" s="34"/>
      <c r="R8" s="57"/>
      <c r="S8" s="58"/>
      <c r="T8" s="58"/>
      <c r="U8" s="58"/>
      <c r="V8" s="58"/>
      <c r="W8" s="58"/>
      <c r="X8" s="58"/>
      <c r="Y8" s="58"/>
      <c r="Z8" s="58"/>
      <c r="AA8" s="58"/>
      <c r="AB8" s="58"/>
      <c r="AC8" s="58"/>
      <c r="AD8" s="58"/>
      <c r="AE8" s="58"/>
      <c r="AF8" s="58"/>
      <c r="AG8" s="58"/>
      <c r="AH8" s="58"/>
      <c r="AI8" s="58"/>
      <c r="AJ8" s="58"/>
      <c r="AK8" s="59"/>
      <c r="AL8" s="34"/>
    </row>
    <row r="9" spans="1:38" ht="15" customHeight="1" thickBot="1" x14ac:dyDescent="0.4">
      <c r="A9" s="61"/>
      <c r="B9" s="61"/>
      <c r="C9" s="61"/>
      <c r="D9" s="34"/>
      <c r="F9" s="66"/>
      <c r="G9" s="67"/>
      <c r="H9" s="34"/>
      <c r="I9" s="76"/>
      <c r="J9" s="77"/>
      <c r="K9" s="34"/>
      <c r="L9" s="76"/>
      <c r="M9" s="77"/>
      <c r="N9" s="34"/>
      <c r="O9" s="66"/>
      <c r="P9" s="67"/>
      <c r="Q9" s="34"/>
      <c r="R9" s="34"/>
      <c r="S9" s="34"/>
      <c r="T9" s="34"/>
      <c r="U9" s="34"/>
      <c r="V9" s="34"/>
      <c r="W9" s="34"/>
      <c r="X9" s="34"/>
      <c r="Y9" s="34"/>
      <c r="Z9" s="34"/>
      <c r="AA9" s="34"/>
      <c r="AB9" s="34"/>
      <c r="AC9" s="34"/>
      <c r="AD9" s="34"/>
      <c r="AE9" s="34"/>
      <c r="AF9" s="34"/>
      <c r="AG9" s="34"/>
      <c r="AH9" s="34"/>
      <c r="AI9" s="34"/>
      <c r="AJ9" s="34"/>
      <c r="AK9" s="34"/>
      <c r="AL9" s="34"/>
    </row>
    <row r="10" spans="1:38" ht="14.5" customHeight="1" thickBot="1" x14ac:dyDescent="0.4">
      <c r="A10" s="61"/>
      <c r="B10" s="61"/>
      <c r="C10" s="61"/>
      <c r="D10" s="37"/>
      <c r="E10" s="37"/>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row>
    <row r="11" spans="1:38" ht="14.5" customHeight="1" x14ac:dyDescent="0.35">
      <c r="A11" s="61"/>
      <c r="B11" s="61"/>
      <c r="C11" s="61"/>
      <c r="D11" s="34"/>
      <c r="E11" s="34"/>
      <c r="F11" s="54" t="s">
        <v>123</v>
      </c>
      <c r="G11" s="55"/>
      <c r="H11" s="55"/>
      <c r="I11" s="55"/>
      <c r="J11" s="55"/>
      <c r="K11" s="55"/>
      <c r="L11" s="55"/>
      <c r="M11" s="55"/>
      <c r="N11" s="55"/>
      <c r="O11" s="55"/>
      <c r="P11" s="56"/>
      <c r="Q11" s="34"/>
      <c r="AF11" s="34"/>
      <c r="AG11" s="34"/>
      <c r="AL11" s="34"/>
    </row>
    <row r="12" spans="1:38" ht="19.5" customHeight="1" thickBot="1" x14ac:dyDescent="0.4">
      <c r="A12" s="61"/>
      <c r="B12" s="61"/>
      <c r="C12" s="61"/>
      <c r="D12" s="34"/>
      <c r="E12" s="34"/>
      <c r="F12" s="57"/>
      <c r="G12" s="58"/>
      <c r="H12" s="58"/>
      <c r="I12" s="58"/>
      <c r="J12" s="58"/>
      <c r="K12" s="58"/>
      <c r="L12" s="58"/>
      <c r="M12" s="58"/>
      <c r="N12" s="58"/>
      <c r="O12" s="58"/>
      <c r="P12" s="59"/>
      <c r="Q12" s="34"/>
      <c r="AF12" s="34"/>
      <c r="AG12" s="34"/>
      <c r="AL12" s="34"/>
    </row>
    <row r="13" spans="1:38" x14ac:dyDescent="0.35">
      <c r="A13" s="61"/>
      <c r="B13" s="61"/>
      <c r="C13" s="61"/>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1:38" x14ac:dyDescent="0.35">
      <c r="A14" s="61"/>
      <c r="B14" s="61"/>
      <c r="C14" s="61"/>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1:38" x14ac:dyDescent="0.35">
      <c r="A15" s="61"/>
      <c r="B15" s="61"/>
      <c r="C15" s="61"/>
      <c r="D15" s="34"/>
      <c r="E15" s="34"/>
      <c r="F15" s="34"/>
      <c r="G15" s="34"/>
      <c r="H15" s="34"/>
      <c r="I15" s="34"/>
      <c r="J15" s="34"/>
      <c r="K15" s="37"/>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row>
    <row r="16" spans="1:38" x14ac:dyDescent="0.35">
      <c r="A16" s="61"/>
      <c r="B16" s="61"/>
      <c r="C16" s="61"/>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row>
    <row r="17" spans="1:38" x14ac:dyDescent="0.35">
      <c r="A17" s="61"/>
      <c r="B17" s="61"/>
      <c r="C17" s="61"/>
      <c r="D17" s="34"/>
      <c r="E17" s="34"/>
      <c r="F17" s="34"/>
      <c r="G17" s="34"/>
      <c r="H17" s="34"/>
      <c r="I17" s="34"/>
      <c r="J17" s="37"/>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row>
    <row r="18" spans="1:38" x14ac:dyDescent="0.35">
      <c r="A18" s="61"/>
      <c r="B18" s="61"/>
      <c r="C18" s="61"/>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row>
    <row r="19" spans="1:38" x14ac:dyDescent="0.35">
      <c r="A19" s="61"/>
      <c r="B19" s="61"/>
      <c r="C19" s="61"/>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row>
    <row r="20" spans="1:38" x14ac:dyDescent="0.35">
      <c r="A20" s="61"/>
      <c r="B20" s="61"/>
      <c r="C20" s="61"/>
      <c r="D20" s="34"/>
      <c r="E20" s="34"/>
      <c r="F20" s="34"/>
      <c r="G20" s="34"/>
      <c r="H20" s="34"/>
      <c r="I20" s="34"/>
      <c r="J20" s="34"/>
      <c r="K20" s="37"/>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row>
    <row r="21" spans="1:38" x14ac:dyDescent="0.35">
      <c r="A21" s="61"/>
      <c r="B21" s="61"/>
      <c r="C21" s="61"/>
      <c r="D21" s="34"/>
      <c r="E21" s="34"/>
      <c r="F21" s="34"/>
      <c r="G21" s="34"/>
      <c r="H21" s="34"/>
      <c r="I21" s="34"/>
      <c r="J21" s="34"/>
      <c r="K21" s="37"/>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row>
    <row r="22" spans="1:38" x14ac:dyDescent="0.35">
      <c r="A22" s="61"/>
      <c r="B22" s="61"/>
      <c r="C22" s="61"/>
      <c r="D22" s="34"/>
      <c r="E22" s="34"/>
      <c r="F22" s="34"/>
      <c r="G22" s="34"/>
      <c r="H22" s="34"/>
      <c r="I22" s="34"/>
      <c r="J22" s="34"/>
      <c r="K22" s="37"/>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row>
    <row r="23" spans="1:38" x14ac:dyDescent="0.35">
      <c r="A23" s="61"/>
      <c r="B23" s="61"/>
      <c r="C23" s="61"/>
      <c r="D23" s="34"/>
      <c r="E23" s="34"/>
      <c r="F23" s="34"/>
      <c r="G23" s="34"/>
      <c r="H23" s="34"/>
      <c r="I23" s="34"/>
      <c r="J23" s="34"/>
      <c r="K23" s="37"/>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row>
    <row r="24" spans="1:38" x14ac:dyDescent="0.35">
      <c r="A24" s="61"/>
      <c r="B24" s="61"/>
      <c r="C24" s="61"/>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row>
    <row r="25" spans="1:38" x14ac:dyDescent="0.35">
      <c r="A25" s="61"/>
      <c r="B25" s="61"/>
      <c r="C25" s="61"/>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row>
    <row r="26" spans="1:38" x14ac:dyDescent="0.35">
      <c r="A26" s="61"/>
      <c r="B26" s="61"/>
      <c r="C26" s="61"/>
      <c r="D26" s="38"/>
      <c r="E26" s="38"/>
      <c r="F26" s="38"/>
      <c r="G26" s="38"/>
      <c r="H26" s="38"/>
      <c r="I26" s="38"/>
      <c r="J26" s="38"/>
      <c r="K26" s="38"/>
      <c r="L26" s="38"/>
      <c r="M26" s="38"/>
      <c r="N26" s="38"/>
      <c r="O26" s="38"/>
      <c r="P26" s="38"/>
      <c r="Q26" s="38"/>
      <c r="R26" s="38"/>
      <c r="S26" s="38"/>
      <c r="T26" s="38"/>
      <c r="U26" s="38"/>
      <c r="V26" s="38"/>
      <c r="W26" s="38"/>
      <c r="X26" s="38"/>
      <c r="Y26" s="38"/>
      <c r="Z26" s="34"/>
      <c r="AA26" s="34"/>
      <c r="AB26" s="34"/>
      <c r="AC26" s="34"/>
      <c r="AD26" s="34"/>
      <c r="AE26" s="34"/>
      <c r="AF26" s="34"/>
      <c r="AG26" s="34"/>
      <c r="AH26" s="34"/>
      <c r="AI26" s="34"/>
      <c r="AJ26" s="34"/>
      <c r="AK26" s="34"/>
      <c r="AL26" s="34"/>
    </row>
    <row r="27" spans="1:38" x14ac:dyDescent="0.35">
      <c r="A27" s="61"/>
      <c r="B27" s="61"/>
      <c r="C27" s="61"/>
      <c r="D27" s="38"/>
      <c r="E27" s="38"/>
      <c r="F27" s="38"/>
      <c r="G27" s="38"/>
      <c r="H27" s="38"/>
      <c r="I27" s="38"/>
      <c r="J27" s="38"/>
      <c r="K27" s="38"/>
      <c r="L27" s="38"/>
      <c r="M27" s="38"/>
      <c r="N27" s="38"/>
      <c r="O27" s="38"/>
      <c r="P27" s="38"/>
      <c r="Q27" s="38"/>
      <c r="R27" s="38"/>
      <c r="S27" s="38"/>
      <c r="T27" s="38"/>
      <c r="U27" s="38"/>
      <c r="V27" s="38"/>
      <c r="W27" s="38"/>
      <c r="X27" s="38"/>
      <c r="Y27" s="38"/>
      <c r="Z27" s="34"/>
      <c r="AA27" s="34"/>
      <c r="AB27" s="34"/>
      <c r="AC27" s="34"/>
      <c r="AD27" s="34"/>
      <c r="AE27" s="34"/>
      <c r="AF27" s="34"/>
      <c r="AG27" s="34"/>
      <c r="AH27" s="34"/>
      <c r="AI27" s="34"/>
      <c r="AJ27" s="34"/>
      <c r="AK27" s="34"/>
      <c r="AL27" s="34"/>
    </row>
    <row r="28" spans="1:38" x14ac:dyDescent="0.35">
      <c r="A28" s="61"/>
      <c r="B28" s="61"/>
      <c r="C28" s="61"/>
      <c r="D28" s="38"/>
      <c r="E28" s="38"/>
      <c r="F28" s="38"/>
      <c r="G28" s="38"/>
      <c r="H28" s="38"/>
      <c r="I28" s="38"/>
      <c r="J28" s="38"/>
      <c r="K28" s="38"/>
      <c r="L28" s="38"/>
      <c r="M28" s="38"/>
      <c r="N28" s="38"/>
      <c r="O28" s="38"/>
      <c r="P28" s="38"/>
      <c r="Q28" s="38"/>
      <c r="R28" s="38"/>
      <c r="S28" s="38"/>
      <c r="T28" s="38"/>
      <c r="U28" s="38"/>
      <c r="V28" s="38"/>
      <c r="W28" s="38"/>
      <c r="X28" s="38"/>
      <c r="Y28" s="38"/>
      <c r="Z28" s="34"/>
      <c r="AA28" s="34"/>
      <c r="AB28" s="34"/>
      <c r="AC28" s="34"/>
      <c r="AD28" s="34"/>
      <c r="AE28" s="34"/>
      <c r="AF28" s="34"/>
      <c r="AG28" s="34"/>
      <c r="AH28" s="34"/>
      <c r="AI28" s="34"/>
      <c r="AJ28" s="34"/>
      <c r="AK28" s="34"/>
      <c r="AL28" s="34"/>
    </row>
    <row r="29" spans="1:38" x14ac:dyDescent="0.35">
      <c r="A29" s="61"/>
      <c r="B29" s="61"/>
      <c r="C29" s="61"/>
      <c r="D29" s="38"/>
      <c r="E29" s="38"/>
      <c r="F29" s="38"/>
      <c r="G29" s="38"/>
      <c r="H29" s="38"/>
      <c r="I29" s="38"/>
      <c r="J29" s="38"/>
      <c r="K29" s="38"/>
      <c r="L29" s="38"/>
      <c r="M29" s="38"/>
      <c r="N29" s="38"/>
      <c r="O29" s="38"/>
      <c r="P29" s="38"/>
      <c r="Q29" s="38"/>
      <c r="R29" s="38"/>
      <c r="S29" s="38"/>
      <c r="T29" s="38"/>
      <c r="U29" s="38"/>
      <c r="V29" s="38"/>
      <c r="W29" s="38"/>
      <c r="X29" s="38"/>
      <c r="Y29" s="38"/>
      <c r="Z29" s="34"/>
      <c r="AA29" s="34"/>
      <c r="AB29" s="34"/>
      <c r="AC29" s="34"/>
      <c r="AD29" s="34"/>
      <c r="AE29" s="34"/>
      <c r="AF29" s="34"/>
      <c r="AG29" s="34"/>
      <c r="AH29" s="34"/>
      <c r="AI29" s="34"/>
      <c r="AJ29" s="34"/>
      <c r="AK29" s="34"/>
      <c r="AL29" s="34"/>
    </row>
    <row r="30" spans="1:38" x14ac:dyDescent="0.35">
      <c r="A30" s="61"/>
      <c r="B30" s="61"/>
      <c r="C30" s="61"/>
      <c r="D30" s="38"/>
      <c r="E30" s="38"/>
      <c r="F30" s="38"/>
      <c r="G30" s="38"/>
      <c r="H30" s="38"/>
      <c r="I30" s="38"/>
      <c r="J30" s="38"/>
      <c r="K30" s="38"/>
      <c r="L30" s="38"/>
      <c r="M30" s="38"/>
      <c r="N30" s="38"/>
      <c r="O30" s="38"/>
      <c r="P30" s="38"/>
      <c r="Q30" s="38"/>
      <c r="R30" s="38"/>
      <c r="S30" s="38"/>
      <c r="T30" s="38"/>
      <c r="U30" s="38"/>
      <c r="V30" s="38"/>
      <c r="W30" s="38"/>
      <c r="X30" s="38"/>
      <c r="Y30" s="38"/>
      <c r="Z30" s="34"/>
      <c r="AA30" s="34"/>
      <c r="AB30" s="34"/>
      <c r="AC30" s="34"/>
      <c r="AD30" s="34"/>
      <c r="AE30" s="34"/>
      <c r="AF30" s="34"/>
      <c r="AG30" s="34"/>
      <c r="AH30" s="34"/>
      <c r="AI30" s="34"/>
      <c r="AJ30" s="34"/>
      <c r="AK30" s="34"/>
      <c r="AL30" s="34"/>
    </row>
    <row r="31" spans="1:38" x14ac:dyDescent="0.35">
      <c r="A31" s="61"/>
      <c r="B31" s="61"/>
      <c r="C31" s="61"/>
      <c r="D31" s="38"/>
      <c r="E31" s="38"/>
      <c r="F31" s="38"/>
      <c r="G31" s="38"/>
      <c r="H31" s="38"/>
      <c r="I31" s="38"/>
      <c r="J31" s="38"/>
      <c r="K31" s="38"/>
      <c r="L31" s="38"/>
      <c r="M31" s="38"/>
      <c r="N31" s="38"/>
      <c r="O31" s="38"/>
      <c r="P31" s="38"/>
      <c r="Q31" s="38"/>
      <c r="R31" s="38"/>
      <c r="S31" s="38"/>
      <c r="T31" s="38"/>
      <c r="U31" s="38"/>
      <c r="V31" s="38"/>
      <c r="W31" s="38"/>
      <c r="X31" s="38"/>
      <c r="Y31" s="38"/>
      <c r="Z31" s="34"/>
      <c r="AA31" s="34"/>
      <c r="AB31" s="34"/>
      <c r="AC31" s="34"/>
      <c r="AD31" s="34"/>
      <c r="AE31" s="34"/>
      <c r="AF31" s="34"/>
      <c r="AG31" s="34"/>
      <c r="AH31" s="34"/>
      <c r="AI31" s="34"/>
      <c r="AJ31" s="34"/>
      <c r="AK31" s="34"/>
      <c r="AL31" s="34"/>
    </row>
    <row r="32" spans="1:38" x14ac:dyDescent="0.35">
      <c r="A32" s="61"/>
      <c r="B32" s="61"/>
      <c r="C32" s="61"/>
      <c r="D32" s="38"/>
      <c r="E32" s="38"/>
      <c r="F32" s="38"/>
      <c r="G32" s="38"/>
      <c r="H32" s="38"/>
      <c r="I32" s="38"/>
      <c r="J32" s="38"/>
      <c r="K32" s="38"/>
      <c r="L32" s="38"/>
      <c r="M32" s="38"/>
      <c r="N32" s="38"/>
      <c r="O32" s="38"/>
      <c r="P32" s="38"/>
      <c r="Q32" s="38"/>
      <c r="R32" s="38"/>
      <c r="S32" s="38"/>
      <c r="T32" s="38"/>
      <c r="U32" s="38"/>
      <c r="V32" s="38"/>
      <c r="W32" s="38"/>
      <c r="X32" s="38"/>
      <c r="Y32" s="38"/>
      <c r="Z32" s="34"/>
      <c r="AA32" s="34"/>
      <c r="AB32" s="34"/>
      <c r="AC32" s="34"/>
      <c r="AD32" s="34"/>
      <c r="AE32" s="34"/>
      <c r="AF32" s="34"/>
      <c r="AG32" s="34"/>
      <c r="AH32" s="34"/>
      <c r="AI32" s="34"/>
      <c r="AJ32" s="34"/>
      <c r="AK32" s="34"/>
      <c r="AL32" s="34"/>
    </row>
    <row r="33" spans="1:38" x14ac:dyDescent="0.35">
      <c r="A33" s="61"/>
      <c r="B33" s="61"/>
      <c r="C33" s="61"/>
      <c r="D33" s="38"/>
      <c r="E33" s="38"/>
      <c r="F33" s="38"/>
      <c r="G33" s="38"/>
      <c r="H33" s="38"/>
      <c r="I33" s="38"/>
      <c r="J33" s="38"/>
      <c r="K33" s="38"/>
      <c r="L33" s="38"/>
      <c r="M33" s="38"/>
      <c r="N33" s="38"/>
      <c r="O33" s="38"/>
      <c r="P33" s="38"/>
      <c r="Q33" s="38"/>
      <c r="R33" s="38"/>
      <c r="S33" s="38"/>
      <c r="T33" s="38"/>
      <c r="U33" s="38"/>
      <c r="V33" s="38"/>
      <c r="W33" s="38"/>
      <c r="X33" s="38"/>
      <c r="Y33" s="38"/>
      <c r="Z33" s="34"/>
      <c r="AA33" s="34"/>
      <c r="AB33" s="34"/>
      <c r="AC33" s="34"/>
      <c r="AD33" s="34"/>
      <c r="AE33" s="34"/>
      <c r="AF33" s="34"/>
      <c r="AG33" s="34"/>
      <c r="AH33" s="34"/>
      <c r="AI33" s="34"/>
      <c r="AJ33" s="34"/>
      <c r="AK33" s="34"/>
      <c r="AL33" s="34"/>
    </row>
    <row r="34" spans="1:38" x14ac:dyDescent="0.35">
      <c r="A34" s="61"/>
      <c r="B34" s="61"/>
      <c r="C34" s="61"/>
      <c r="D34" s="38"/>
      <c r="E34" s="38"/>
      <c r="F34" s="38"/>
      <c r="G34" s="38"/>
      <c r="H34" s="38"/>
      <c r="I34" s="38"/>
      <c r="J34" s="38"/>
      <c r="K34" s="38"/>
      <c r="L34" s="38"/>
      <c r="M34" s="38"/>
      <c r="N34" s="38"/>
      <c r="O34" s="38"/>
      <c r="P34" s="38"/>
      <c r="Q34" s="38"/>
      <c r="R34" s="38"/>
      <c r="S34" s="38"/>
      <c r="T34" s="38"/>
      <c r="U34" s="38"/>
      <c r="V34" s="38"/>
      <c r="W34" s="38"/>
      <c r="X34" s="38"/>
      <c r="Y34" s="38"/>
      <c r="Z34" s="34"/>
      <c r="AA34" s="34"/>
      <c r="AB34" s="34"/>
      <c r="AC34" s="34"/>
      <c r="AD34" s="34"/>
      <c r="AE34" s="34"/>
      <c r="AF34" s="34"/>
      <c r="AG34" s="34"/>
      <c r="AH34" s="34"/>
      <c r="AI34" s="34"/>
      <c r="AJ34" s="34"/>
      <c r="AK34" s="34"/>
      <c r="AL34" s="34"/>
    </row>
    <row r="35" spans="1:38" x14ac:dyDescent="0.35">
      <c r="A35" s="61"/>
      <c r="B35" s="61"/>
      <c r="C35" s="61"/>
      <c r="D35" s="38"/>
      <c r="E35" s="38"/>
      <c r="F35" s="38"/>
      <c r="G35" s="38"/>
      <c r="H35" s="38"/>
      <c r="I35" s="38"/>
      <c r="J35" s="38"/>
      <c r="K35" s="38"/>
      <c r="L35" s="38"/>
      <c r="M35" s="38"/>
      <c r="N35" s="38"/>
      <c r="O35" s="38"/>
      <c r="P35" s="38"/>
      <c r="Q35" s="38"/>
      <c r="R35" s="38"/>
      <c r="S35" s="38"/>
      <c r="T35" s="38"/>
      <c r="U35" s="38"/>
      <c r="V35" s="38"/>
      <c r="W35" s="38"/>
      <c r="X35" s="38"/>
      <c r="Y35" s="38"/>
      <c r="Z35" s="34"/>
      <c r="AA35" s="34"/>
      <c r="AB35" s="34"/>
      <c r="AC35" s="34"/>
      <c r="AD35" s="34"/>
      <c r="AE35" s="34"/>
      <c r="AF35" s="34"/>
      <c r="AG35" s="34"/>
      <c r="AH35" s="34"/>
      <c r="AI35" s="34"/>
      <c r="AJ35" s="34"/>
      <c r="AK35" s="34"/>
      <c r="AL35" s="34"/>
    </row>
    <row r="36" spans="1:38" x14ac:dyDescent="0.35">
      <c r="A36" s="61"/>
      <c r="B36" s="61"/>
      <c r="C36" s="61"/>
      <c r="D36" s="38"/>
      <c r="E36" s="38"/>
      <c r="F36" s="38"/>
      <c r="G36" s="38"/>
      <c r="H36" s="38"/>
      <c r="I36" s="38"/>
      <c r="J36" s="38"/>
      <c r="K36" s="38"/>
      <c r="L36" s="38"/>
      <c r="M36" s="38"/>
      <c r="N36" s="38"/>
      <c r="O36" s="38"/>
      <c r="P36" s="38"/>
      <c r="Q36" s="38"/>
      <c r="R36" s="38"/>
      <c r="S36" s="38"/>
      <c r="T36" s="38"/>
      <c r="U36" s="38"/>
      <c r="V36" s="38"/>
      <c r="W36" s="38"/>
      <c r="X36" s="38"/>
      <c r="Y36" s="38"/>
      <c r="Z36" s="34"/>
      <c r="AA36" s="34"/>
      <c r="AB36" s="34"/>
      <c r="AC36" s="34"/>
      <c r="AD36" s="34"/>
      <c r="AE36" s="34"/>
      <c r="AF36" s="34"/>
      <c r="AG36" s="34"/>
      <c r="AH36" s="34"/>
      <c r="AI36" s="34"/>
      <c r="AJ36" s="34"/>
      <c r="AK36" s="34"/>
      <c r="AL36" s="34"/>
    </row>
    <row r="37" spans="1:38" x14ac:dyDescent="0.35">
      <c r="A37" s="61"/>
      <c r="B37" s="61"/>
      <c r="C37" s="61"/>
      <c r="D37" s="38"/>
      <c r="E37" s="38"/>
      <c r="F37" s="38"/>
      <c r="G37" s="38"/>
      <c r="H37" s="38"/>
      <c r="I37" s="38"/>
      <c r="J37" s="38"/>
      <c r="K37" s="38"/>
      <c r="L37" s="38"/>
      <c r="M37" s="38"/>
      <c r="N37" s="38"/>
      <c r="O37" s="38"/>
      <c r="P37" s="38"/>
      <c r="Q37" s="38"/>
      <c r="R37" s="38"/>
      <c r="S37" s="38"/>
      <c r="T37" s="38"/>
      <c r="U37" s="38"/>
      <c r="V37" s="38"/>
      <c r="W37" s="38"/>
      <c r="X37" s="38"/>
      <c r="Y37" s="38"/>
      <c r="Z37" s="34"/>
      <c r="AA37" s="34"/>
      <c r="AB37" s="34"/>
      <c r="AC37" s="34"/>
      <c r="AD37" s="34"/>
      <c r="AE37" s="34"/>
      <c r="AF37" s="34"/>
      <c r="AG37" s="34"/>
      <c r="AH37" s="34"/>
      <c r="AI37" s="34"/>
      <c r="AJ37" s="34"/>
      <c r="AK37" s="34"/>
      <c r="AL37" s="34"/>
    </row>
    <row r="38" spans="1:38" x14ac:dyDescent="0.35">
      <c r="A38" s="61"/>
      <c r="B38" s="61"/>
      <c r="C38" s="61"/>
      <c r="D38" s="38"/>
      <c r="E38" s="38"/>
      <c r="F38" s="38"/>
      <c r="G38" s="38"/>
      <c r="H38" s="38"/>
      <c r="I38" s="38"/>
      <c r="J38" s="38"/>
      <c r="K38" s="38"/>
      <c r="L38" s="38"/>
      <c r="M38" s="38"/>
      <c r="N38" s="38"/>
      <c r="O38" s="38"/>
      <c r="P38" s="38"/>
      <c r="Q38" s="38"/>
      <c r="R38" s="38"/>
      <c r="S38" s="38"/>
      <c r="T38" s="38"/>
      <c r="U38" s="38"/>
      <c r="V38" s="38"/>
      <c r="W38" s="38"/>
      <c r="X38" s="38"/>
      <c r="Y38" s="38"/>
      <c r="Z38" s="34"/>
      <c r="AA38" s="34"/>
      <c r="AB38" s="34"/>
      <c r="AC38" s="34"/>
      <c r="AD38" s="34"/>
      <c r="AE38" s="34"/>
      <c r="AF38" s="34"/>
      <c r="AG38" s="34"/>
      <c r="AH38" s="34"/>
      <c r="AI38" s="34"/>
      <c r="AJ38" s="34"/>
      <c r="AK38" s="34"/>
      <c r="AL38" s="34"/>
    </row>
    <row r="39" spans="1:38" x14ac:dyDescent="0.35">
      <c r="A39" s="61"/>
      <c r="B39" s="61"/>
      <c r="C39" s="61"/>
      <c r="D39" s="38"/>
      <c r="E39" s="38"/>
      <c r="F39" s="38"/>
      <c r="G39" s="38"/>
      <c r="H39" s="38"/>
      <c r="I39" s="38"/>
      <c r="J39" s="38"/>
      <c r="K39" s="38"/>
      <c r="L39" s="38"/>
      <c r="M39" s="38"/>
      <c r="N39" s="38"/>
      <c r="O39" s="38"/>
      <c r="P39" s="38"/>
      <c r="Q39" s="38"/>
      <c r="R39" s="38"/>
      <c r="S39" s="38"/>
      <c r="T39" s="38"/>
      <c r="U39" s="38"/>
      <c r="V39" s="38"/>
      <c r="W39" s="38"/>
      <c r="X39" s="38"/>
      <c r="Y39" s="38"/>
      <c r="Z39" s="34"/>
      <c r="AA39" s="34"/>
      <c r="AB39" s="34"/>
      <c r="AC39" s="34"/>
      <c r="AD39" s="34"/>
      <c r="AE39" s="34"/>
      <c r="AF39" s="34"/>
      <c r="AG39" s="34"/>
      <c r="AH39" s="34"/>
      <c r="AI39" s="34"/>
      <c r="AJ39" s="34"/>
      <c r="AK39" s="34"/>
      <c r="AL39" s="34"/>
    </row>
    <row r="40" spans="1:38" x14ac:dyDescent="0.35">
      <c r="A40" s="61"/>
      <c r="B40" s="61"/>
      <c r="C40" s="61"/>
      <c r="D40" s="38"/>
      <c r="E40" s="38"/>
      <c r="F40" s="38"/>
      <c r="G40" s="38"/>
      <c r="H40" s="38"/>
      <c r="I40" s="38"/>
      <c r="J40" s="38"/>
      <c r="K40" s="38"/>
      <c r="L40" s="38"/>
      <c r="M40" s="38"/>
      <c r="N40" s="38"/>
      <c r="O40" s="38"/>
      <c r="P40" s="38"/>
      <c r="Q40" s="38"/>
      <c r="R40" s="38"/>
      <c r="S40" s="38"/>
      <c r="T40" s="38"/>
      <c r="U40" s="38"/>
      <c r="V40" s="38"/>
      <c r="W40" s="38"/>
      <c r="X40" s="38"/>
      <c r="Y40" s="38"/>
      <c r="Z40" s="34"/>
      <c r="AA40" s="34"/>
      <c r="AB40" s="34"/>
      <c r="AC40" s="34"/>
      <c r="AD40" s="34"/>
      <c r="AE40" s="34"/>
      <c r="AF40" s="34"/>
      <c r="AG40" s="34"/>
      <c r="AH40" s="34"/>
      <c r="AI40" s="34"/>
      <c r="AJ40" s="34"/>
      <c r="AK40" s="34"/>
      <c r="AL40" s="34"/>
    </row>
    <row r="41" spans="1:38" x14ac:dyDescent="0.35">
      <c r="A41" s="61"/>
      <c r="B41" s="61"/>
      <c r="C41" s="61"/>
      <c r="D41" s="38"/>
      <c r="E41" s="38"/>
      <c r="F41" s="38"/>
      <c r="G41" s="38"/>
      <c r="H41" s="38"/>
      <c r="I41" s="38"/>
      <c r="J41" s="38"/>
      <c r="K41" s="38"/>
      <c r="L41" s="38"/>
      <c r="M41" s="38"/>
      <c r="N41" s="38"/>
      <c r="O41" s="38"/>
      <c r="P41" s="38"/>
      <c r="Q41" s="38"/>
      <c r="R41" s="38"/>
      <c r="S41" s="38"/>
      <c r="T41" s="38"/>
      <c r="U41" s="38"/>
      <c r="V41" s="38"/>
      <c r="W41" s="38"/>
      <c r="X41" s="38"/>
      <c r="Y41" s="38"/>
      <c r="Z41" s="34"/>
      <c r="AA41" s="34"/>
      <c r="AB41" s="34"/>
      <c r="AC41" s="34"/>
      <c r="AD41" s="34"/>
      <c r="AE41" s="34"/>
      <c r="AF41" s="34"/>
      <c r="AG41" s="34"/>
      <c r="AH41" s="34"/>
      <c r="AI41" s="34"/>
      <c r="AJ41" s="34"/>
      <c r="AK41" s="34"/>
      <c r="AL41" s="34"/>
    </row>
    <row r="42" spans="1:38" x14ac:dyDescent="0.35">
      <c r="A42" s="61"/>
      <c r="B42" s="61"/>
      <c r="C42" s="61"/>
      <c r="D42" s="38"/>
      <c r="E42" s="38"/>
      <c r="F42" s="38"/>
      <c r="G42" s="38"/>
      <c r="H42" s="38"/>
      <c r="I42" s="38"/>
      <c r="J42" s="38"/>
      <c r="K42" s="38"/>
      <c r="L42" s="38"/>
      <c r="M42" s="38"/>
      <c r="N42" s="38"/>
      <c r="O42" s="38"/>
      <c r="P42" s="38"/>
      <c r="Q42" s="38"/>
      <c r="R42" s="38"/>
      <c r="S42" s="38"/>
      <c r="T42" s="38"/>
      <c r="U42" s="38"/>
      <c r="V42" s="38"/>
      <c r="W42" s="38"/>
      <c r="X42" s="38"/>
      <c r="Y42" s="38"/>
      <c r="Z42" s="34"/>
      <c r="AA42" s="34"/>
      <c r="AB42" s="34"/>
      <c r="AC42" s="34"/>
      <c r="AD42" s="34"/>
      <c r="AE42" s="34"/>
      <c r="AF42" s="34"/>
      <c r="AG42" s="34"/>
      <c r="AH42" s="34"/>
      <c r="AI42" s="34"/>
      <c r="AJ42" s="34"/>
      <c r="AK42" s="34"/>
      <c r="AL42" s="34"/>
    </row>
    <row r="43" spans="1:38" x14ac:dyDescent="0.35">
      <c r="A43" s="61"/>
      <c r="B43" s="61"/>
      <c r="C43" s="61"/>
      <c r="D43" s="38"/>
      <c r="E43" s="38"/>
      <c r="F43" s="38"/>
      <c r="G43" s="38"/>
      <c r="H43" s="38"/>
      <c r="I43" s="38"/>
      <c r="J43" s="38"/>
      <c r="K43" s="38"/>
      <c r="L43" s="38"/>
      <c r="M43" s="38"/>
      <c r="N43" s="38"/>
      <c r="O43" s="38"/>
      <c r="P43" s="38"/>
      <c r="Q43" s="38"/>
      <c r="R43" s="38"/>
      <c r="S43" s="38"/>
      <c r="T43" s="38"/>
      <c r="U43" s="38"/>
      <c r="V43" s="38"/>
      <c r="W43" s="38"/>
      <c r="X43" s="38"/>
      <c r="Y43" s="34"/>
      <c r="Z43" s="34"/>
      <c r="AA43" s="34"/>
      <c r="AB43" s="34"/>
      <c r="AC43" s="34"/>
      <c r="AD43" s="34"/>
      <c r="AE43" s="34"/>
      <c r="AF43" s="34"/>
      <c r="AG43" s="34"/>
      <c r="AH43" s="34"/>
      <c r="AI43" s="34"/>
      <c r="AJ43" s="34"/>
      <c r="AK43" s="34"/>
      <c r="AL43" s="34"/>
    </row>
    <row r="44" spans="1:38" x14ac:dyDescent="0.35">
      <c r="A44" s="61"/>
      <c r="B44" s="61"/>
      <c r="C44" s="61"/>
      <c r="D44" s="38"/>
      <c r="E44" s="38"/>
      <c r="F44" s="38"/>
      <c r="G44" s="38"/>
      <c r="H44" s="38"/>
      <c r="I44" s="38"/>
      <c r="J44" s="38"/>
      <c r="K44" s="38"/>
      <c r="L44" s="38"/>
      <c r="M44" s="38"/>
      <c r="N44" s="38"/>
      <c r="O44" s="38"/>
      <c r="P44" s="38"/>
      <c r="Q44" s="38"/>
      <c r="R44" s="38"/>
      <c r="S44" s="38"/>
      <c r="T44" s="38"/>
      <c r="U44" s="38"/>
      <c r="V44" s="38"/>
      <c r="W44" s="38"/>
      <c r="X44" s="38"/>
      <c r="Y44" s="38"/>
      <c r="Z44" s="34"/>
      <c r="AA44" s="34"/>
      <c r="AB44" s="34"/>
      <c r="AC44" s="34"/>
      <c r="AD44" s="34"/>
      <c r="AE44" s="34"/>
      <c r="AF44" s="34"/>
      <c r="AG44" s="34"/>
      <c r="AH44" s="34"/>
      <c r="AI44" s="34"/>
      <c r="AJ44" s="34"/>
      <c r="AK44" s="34"/>
      <c r="AL44" s="34"/>
    </row>
    <row r="45" spans="1:38" x14ac:dyDescent="0.35">
      <c r="A45" s="61"/>
      <c r="B45" s="61"/>
      <c r="C45" s="61"/>
      <c r="D45" s="38"/>
      <c r="E45" s="38"/>
      <c r="F45" s="38"/>
      <c r="G45" s="38"/>
      <c r="H45" s="38"/>
      <c r="I45" s="38"/>
      <c r="J45" s="38"/>
      <c r="K45" s="38"/>
      <c r="L45" s="38"/>
      <c r="M45" s="38"/>
      <c r="N45" s="38"/>
      <c r="O45" s="38"/>
      <c r="P45" s="38"/>
      <c r="Q45" s="38"/>
      <c r="R45" s="38"/>
      <c r="S45" s="38"/>
      <c r="T45" s="38"/>
      <c r="U45" s="38"/>
      <c r="V45" s="38"/>
      <c r="W45" s="38"/>
      <c r="X45" s="38"/>
      <c r="Y45" s="38"/>
      <c r="Z45" s="34"/>
      <c r="AA45" s="34"/>
      <c r="AB45" s="34"/>
      <c r="AC45" s="34"/>
      <c r="AD45" s="34"/>
      <c r="AE45" s="34"/>
      <c r="AF45" s="34"/>
      <c r="AG45" s="34"/>
      <c r="AH45" s="34"/>
      <c r="AI45" s="34"/>
      <c r="AJ45" s="34"/>
      <c r="AK45" s="34"/>
      <c r="AL45" s="34"/>
    </row>
    <row r="46" spans="1:38" ht="15" thickBot="1" x14ac:dyDescent="0.4">
      <c r="A46" s="61"/>
      <c r="B46" s="61"/>
      <c r="C46" s="61"/>
      <c r="D46" s="38"/>
      <c r="E46" s="38"/>
      <c r="F46" s="38"/>
      <c r="G46" s="38"/>
      <c r="H46" s="38"/>
      <c r="I46" s="38"/>
      <c r="J46" s="38"/>
      <c r="K46" s="38"/>
      <c r="L46" s="38"/>
      <c r="M46" s="38"/>
      <c r="N46" s="38"/>
      <c r="O46" s="38"/>
      <c r="P46" s="38"/>
      <c r="Q46" s="38"/>
      <c r="R46" s="38"/>
      <c r="S46" s="38"/>
      <c r="T46" s="38"/>
      <c r="U46" s="38"/>
      <c r="V46" s="38"/>
      <c r="W46" s="38"/>
      <c r="X46" s="38"/>
      <c r="Y46" s="38"/>
      <c r="Z46" s="34"/>
      <c r="AA46" s="34"/>
      <c r="AB46" s="34"/>
      <c r="AC46" s="34"/>
      <c r="AD46" s="34"/>
      <c r="AE46" s="34"/>
      <c r="AF46" s="34"/>
      <c r="AG46" s="34"/>
      <c r="AH46" s="34"/>
      <c r="AI46" s="34"/>
      <c r="AJ46" s="34"/>
      <c r="AK46" s="34"/>
      <c r="AL46" s="34"/>
    </row>
    <row r="47" spans="1:38" ht="21.5" thickBot="1" x14ac:dyDescent="0.4">
      <c r="A47" s="61"/>
      <c r="B47" s="61"/>
      <c r="C47" s="61"/>
      <c r="D47" s="38"/>
      <c r="E47" s="38"/>
      <c r="F47" s="38"/>
      <c r="G47" s="38"/>
      <c r="H47" s="38"/>
      <c r="I47" s="38"/>
      <c r="J47" s="38"/>
      <c r="K47" s="38"/>
      <c r="L47" s="38"/>
      <c r="M47" s="38"/>
      <c r="N47" s="38"/>
      <c r="O47" s="38"/>
      <c r="P47" s="38"/>
      <c r="Q47" s="38"/>
      <c r="R47" s="38"/>
      <c r="S47" s="38"/>
      <c r="T47" s="38"/>
      <c r="U47" s="38"/>
      <c r="V47" s="38"/>
      <c r="W47" s="38"/>
      <c r="X47" s="38"/>
      <c r="Y47" s="38"/>
      <c r="Z47" s="34"/>
      <c r="AA47" s="34"/>
      <c r="AB47" s="34"/>
      <c r="AC47" s="34"/>
      <c r="AD47" s="34"/>
      <c r="AE47" s="34"/>
      <c r="AF47" s="34"/>
      <c r="AG47" s="68" t="s">
        <v>129</v>
      </c>
      <c r="AH47" s="69"/>
      <c r="AI47" s="34"/>
      <c r="AJ47" s="68" t="s">
        <v>118</v>
      </c>
      <c r="AK47" s="69"/>
      <c r="AL47" s="34"/>
    </row>
    <row r="48" spans="1:38" ht="24" thickBot="1" x14ac:dyDescent="0.4">
      <c r="A48" s="61"/>
      <c r="B48" s="61"/>
      <c r="C48" s="61"/>
      <c r="D48" s="38"/>
      <c r="E48" s="38"/>
      <c r="F48" s="38"/>
      <c r="G48" s="38"/>
      <c r="H48" s="38"/>
      <c r="I48" s="38"/>
      <c r="J48" s="38"/>
      <c r="K48" s="38"/>
      <c r="L48" s="38"/>
      <c r="M48" s="38"/>
      <c r="N48" s="38"/>
      <c r="O48" s="38"/>
      <c r="P48" s="38"/>
      <c r="Q48" s="38"/>
      <c r="R48" s="38"/>
      <c r="S48" s="38"/>
      <c r="T48" s="38"/>
      <c r="U48" s="38"/>
      <c r="V48" s="38"/>
      <c r="W48" s="38"/>
      <c r="X48" s="38"/>
      <c r="Y48" s="38"/>
      <c r="Z48" s="34"/>
      <c r="AA48" s="34"/>
      <c r="AB48" s="34"/>
      <c r="AC48" s="34"/>
      <c r="AD48" s="34"/>
      <c r="AE48" s="34"/>
      <c r="AF48" s="34"/>
      <c r="AG48" s="39" t="s">
        <v>1</v>
      </c>
      <c r="AH48" s="41" t="s">
        <v>117</v>
      </c>
      <c r="AI48" s="34"/>
      <c r="AJ48" s="40" t="s">
        <v>2</v>
      </c>
      <c r="AK48" s="41" t="s">
        <v>117</v>
      </c>
      <c r="AL48" s="34"/>
    </row>
    <row r="49" spans="1:38" ht="21" x14ac:dyDescent="0.35">
      <c r="A49" s="61"/>
      <c r="B49" s="61"/>
      <c r="C49" s="61"/>
      <c r="D49" s="38"/>
      <c r="E49" s="38"/>
      <c r="F49" s="38"/>
      <c r="G49" s="38"/>
      <c r="H49" s="38"/>
      <c r="I49" s="38"/>
      <c r="J49" s="38"/>
      <c r="K49" s="38"/>
      <c r="L49" s="38"/>
      <c r="M49" s="38"/>
      <c r="N49" s="38"/>
      <c r="O49" s="38"/>
      <c r="P49" s="38"/>
      <c r="Q49" s="38"/>
      <c r="R49" s="38"/>
      <c r="S49" s="38"/>
      <c r="T49" s="38"/>
      <c r="U49" s="38"/>
      <c r="V49" s="38"/>
      <c r="W49" s="38"/>
      <c r="X49" s="38"/>
      <c r="Y49" s="38"/>
      <c r="Z49" s="34"/>
      <c r="AA49" s="34"/>
      <c r="AB49" s="34"/>
      <c r="AC49" s="34"/>
      <c r="AD49" s="34"/>
      <c r="AE49" s="34"/>
      <c r="AF49" s="34"/>
      <c r="AG49" s="42" t="str">
        <f>Analysis!A7</f>
        <v>Madhya Pradesh</v>
      </c>
      <c r="AH49" s="43">
        <f>Analysis!B7</f>
        <v>21326</v>
      </c>
      <c r="AI49" s="34"/>
      <c r="AJ49" s="42" t="str">
        <f>Analysis!AB7</f>
        <v>North India</v>
      </c>
      <c r="AK49" s="43">
        <f>Analysis!AC7</f>
        <v>61120</v>
      </c>
      <c r="AL49" s="34"/>
    </row>
    <row r="50" spans="1:38" ht="21" x14ac:dyDescent="0.35">
      <c r="A50" s="61"/>
      <c r="B50" s="61"/>
      <c r="C50" s="61"/>
      <c r="D50" s="38"/>
      <c r="E50" s="38"/>
      <c r="F50" s="38"/>
      <c r="G50" s="38"/>
      <c r="H50" s="38"/>
      <c r="I50" s="38"/>
      <c r="J50" s="38"/>
      <c r="K50" s="38"/>
      <c r="L50" s="38"/>
      <c r="M50" s="38"/>
      <c r="N50" s="38"/>
      <c r="O50" s="38"/>
      <c r="P50" s="38"/>
      <c r="Q50" s="38"/>
      <c r="R50" s="38"/>
      <c r="S50" s="38"/>
      <c r="T50" s="38"/>
      <c r="U50" s="38"/>
      <c r="V50" s="38"/>
      <c r="W50" s="38"/>
      <c r="X50" s="38"/>
      <c r="Y50" s="38"/>
      <c r="Z50" s="34"/>
      <c r="AA50" s="34"/>
      <c r="AB50" s="34"/>
      <c r="AC50" s="34"/>
      <c r="AD50" s="34"/>
      <c r="AE50" s="34"/>
      <c r="AF50" s="34"/>
      <c r="AG50" s="44" t="str">
        <f>Analysis!A8</f>
        <v>Chhattisgarh</v>
      </c>
      <c r="AH50" s="45">
        <f>Analysis!B8</f>
        <v>2124</v>
      </c>
      <c r="AI50" s="34"/>
      <c r="AJ50" s="44" t="str">
        <f>Analysis!AB8</f>
        <v>South India</v>
      </c>
      <c r="AK50" s="45">
        <f>Analysis!AC8</f>
        <v>47874</v>
      </c>
      <c r="AL50" s="34"/>
    </row>
    <row r="51" spans="1:38" ht="21" x14ac:dyDescent="0.35">
      <c r="A51" s="61"/>
      <c r="B51" s="61"/>
      <c r="C51" s="61"/>
      <c r="D51" s="38"/>
      <c r="E51" s="38"/>
      <c r="F51" s="38"/>
      <c r="G51" s="38"/>
      <c r="H51" s="38"/>
      <c r="I51" s="38"/>
      <c r="J51" s="38"/>
      <c r="K51" s="38"/>
      <c r="L51" s="38"/>
      <c r="M51" s="38"/>
      <c r="N51" s="38"/>
      <c r="O51" s="38"/>
      <c r="P51" s="38"/>
      <c r="Q51" s="38"/>
      <c r="R51" s="38"/>
      <c r="S51" s="38"/>
      <c r="T51" s="38"/>
      <c r="U51" s="38"/>
      <c r="V51" s="38"/>
      <c r="W51" s="38"/>
      <c r="X51" s="38"/>
      <c r="Y51" s="38"/>
      <c r="Z51" s="34"/>
      <c r="AA51" s="34"/>
      <c r="AB51" s="34"/>
      <c r="AC51" s="34"/>
      <c r="AD51" s="34"/>
      <c r="AE51" s="34"/>
      <c r="AF51" s="34"/>
      <c r="AG51" s="44">
        <f>Analysis!A9</f>
        <v>0</v>
      </c>
      <c r="AH51" s="45">
        <f>Analysis!B9</f>
        <v>0</v>
      </c>
      <c r="AI51" s="34"/>
      <c r="AJ51" s="44" t="str">
        <f>Analysis!AB9</f>
        <v>West India</v>
      </c>
      <c r="AK51" s="45">
        <f>Analysis!AC9</f>
        <v>34421</v>
      </c>
      <c r="AL51" s="34"/>
    </row>
    <row r="52" spans="1:38" ht="21" x14ac:dyDescent="0.35">
      <c r="A52" s="61"/>
      <c r="B52" s="61"/>
      <c r="C52" s="61"/>
      <c r="D52" s="38"/>
      <c r="E52" s="38"/>
      <c r="F52" s="38"/>
      <c r="G52" s="38"/>
      <c r="H52" s="38"/>
      <c r="I52" s="38"/>
      <c r="J52" s="38"/>
      <c r="K52" s="38"/>
      <c r="L52" s="38"/>
      <c r="M52" s="38"/>
      <c r="N52" s="38"/>
      <c r="O52" s="38"/>
      <c r="P52" s="38"/>
      <c r="Q52" s="38"/>
      <c r="R52" s="38"/>
      <c r="S52" s="38"/>
      <c r="T52" s="38"/>
      <c r="U52" s="38"/>
      <c r="V52" s="38"/>
      <c r="W52" s="38"/>
      <c r="X52" s="38"/>
      <c r="Y52" s="38"/>
      <c r="Z52" s="34"/>
      <c r="AA52" s="34"/>
      <c r="AB52" s="34"/>
      <c r="AC52" s="34"/>
      <c r="AD52" s="34"/>
      <c r="AE52" s="34"/>
      <c r="AF52" s="34"/>
      <c r="AG52" s="44">
        <f>Analysis!A10</f>
        <v>0</v>
      </c>
      <c r="AH52" s="45">
        <f>Analysis!B10</f>
        <v>0</v>
      </c>
      <c r="AI52" s="34"/>
      <c r="AJ52" s="44" t="str">
        <f>Analysis!AB10</f>
        <v>East India</v>
      </c>
      <c r="AK52" s="45">
        <f>Analysis!AC10</f>
        <v>26767</v>
      </c>
      <c r="AL52" s="34"/>
    </row>
    <row r="53" spans="1:38" ht="21" x14ac:dyDescent="0.35">
      <c r="A53" s="61"/>
      <c r="B53" s="61"/>
      <c r="C53" s="61"/>
      <c r="D53" s="38"/>
      <c r="E53" s="38"/>
      <c r="F53" s="38"/>
      <c r="G53" s="38"/>
      <c r="H53" s="38"/>
      <c r="I53" s="38"/>
      <c r="J53" s="38"/>
      <c r="K53" s="38"/>
      <c r="L53" s="38"/>
      <c r="M53" s="38"/>
      <c r="N53" s="38"/>
      <c r="O53" s="38"/>
      <c r="P53" s="38"/>
      <c r="Q53" s="38"/>
      <c r="R53" s="38"/>
      <c r="S53" s="38"/>
      <c r="T53" s="38"/>
      <c r="U53" s="38"/>
      <c r="V53" s="38"/>
      <c r="W53" s="38"/>
      <c r="X53" s="38"/>
      <c r="Y53" s="38"/>
      <c r="Z53" s="34"/>
      <c r="AA53" s="34"/>
      <c r="AB53" s="34"/>
      <c r="AC53" s="34"/>
      <c r="AD53" s="34"/>
      <c r="AE53" s="34"/>
      <c r="AF53" s="34"/>
      <c r="AG53" s="44">
        <f>Analysis!A11</f>
        <v>0</v>
      </c>
      <c r="AH53" s="45">
        <f>Analysis!B11</f>
        <v>0</v>
      </c>
      <c r="AI53" s="34"/>
      <c r="AJ53" s="44" t="str">
        <f>Analysis!AB11</f>
        <v>Central India</v>
      </c>
      <c r="AK53" s="45">
        <f>Analysis!AC11</f>
        <v>23450</v>
      </c>
      <c r="AL53" s="34"/>
    </row>
    <row r="54" spans="1:38" ht="21" x14ac:dyDescent="0.35">
      <c r="A54" s="61"/>
      <c r="B54" s="61"/>
      <c r="C54" s="61"/>
      <c r="D54" s="38"/>
      <c r="E54" s="38"/>
      <c r="F54" s="38"/>
      <c r="G54" s="38"/>
      <c r="H54" s="38"/>
      <c r="I54" s="38"/>
      <c r="J54" s="38"/>
      <c r="K54" s="38"/>
      <c r="L54" s="38"/>
      <c r="M54" s="38"/>
      <c r="N54" s="38"/>
      <c r="O54" s="38"/>
      <c r="P54" s="38"/>
      <c r="Q54" s="38"/>
      <c r="R54" s="38"/>
      <c r="S54" s="38"/>
      <c r="T54" s="38"/>
      <c r="U54" s="38"/>
      <c r="V54" s="38"/>
      <c r="W54" s="38"/>
      <c r="X54" s="38"/>
      <c r="Y54" s="38"/>
      <c r="Z54" s="34"/>
      <c r="AA54" s="34"/>
      <c r="AB54" s="34"/>
      <c r="AC54" s="34"/>
      <c r="AD54" s="34"/>
      <c r="AE54" s="34"/>
      <c r="AF54" s="34"/>
      <c r="AG54" s="44">
        <f>Analysis!A12</f>
        <v>0</v>
      </c>
      <c r="AH54" s="45">
        <f>Analysis!B12</f>
        <v>0</v>
      </c>
      <c r="AI54" s="34"/>
      <c r="AJ54" s="44" t="str">
        <f>Analysis!AB12</f>
        <v>North East India</v>
      </c>
      <c r="AK54" s="45">
        <f>Analysis!AC12</f>
        <v>1634</v>
      </c>
      <c r="AL54" s="34"/>
    </row>
    <row r="55" spans="1:38" ht="21" x14ac:dyDescent="0.35">
      <c r="A55" s="61"/>
      <c r="B55" s="61"/>
      <c r="C55" s="61"/>
      <c r="D55" s="38"/>
      <c r="E55" s="38"/>
      <c r="F55" s="38"/>
      <c r="G55" s="38"/>
      <c r="H55" s="38"/>
      <c r="I55" s="38"/>
      <c r="J55" s="38"/>
      <c r="K55" s="38"/>
      <c r="L55" s="38"/>
      <c r="M55" s="38"/>
      <c r="N55" s="38"/>
      <c r="O55" s="38"/>
      <c r="P55" s="38"/>
      <c r="Q55" s="38"/>
      <c r="R55" s="38"/>
      <c r="S55" s="38"/>
      <c r="T55" s="38"/>
      <c r="U55" s="38"/>
      <c r="V55" s="38"/>
      <c r="W55" s="38"/>
      <c r="X55" s="38"/>
      <c r="Y55" s="38"/>
      <c r="Z55" s="34"/>
      <c r="AA55" s="34"/>
      <c r="AB55" s="34"/>
      <c r="AC55" s="34"/>
      <c r="AD55" s="34"/>
      <c r="AE55" s="34"/>
      <c r="AF55" s="34"/>
      <c r="AG55" s="44">
        <f>Analysis!A13</f>
        <v>0</v>
      </c>
      <c r="AH55" s="45">
        <f>Analysis!B13</f>
        <v>0</v>
      </c>
      <c r="AI55" s="34"/>
      <c r="AJ55" s="30"/>
      <c r="AK55" s="32"/>
      <c r="AL55" s="34"/>
    </row>
    <row r="56" spans="1:38" ht="21" x14ac:dyDescent="0.35">
      <c r="A56" s="61"/>
      <c r="B56" s="61"/>
      <c r="C56" s="61"/>
      <c r="D56" s="38"/>
      <c r="E56" s="38"/>
      <c r="F56" s="38"/>
      <c r="G56" s="38"/>
      <c r="H56" s="38"/>
      <c r="I56" s="38"/>
      <c r="J56" s="38"/>
      <c r="K56" s="38"/>
      <c r="L56" s="38"/>
      <c r="M56" s="38"/>
      <c r="N56" s="38"/>
      <c r="O56" s="38"/>
      <c r="P56" s="38"/>
      <c r="Q56" s="38"/>
      <c r="R56" s="38"/>
      <c r="S56" s="38"/>
      <c r="T56" s="38"/>
      <c r="U56" s="38"/>
      <c r="V56" s="38"/>
      <c r="W56" s="38"/>
      <c r="X56" s="38"/>
      <c r="Y56" s="38"/>
      <c r="Z56" s="34"/>
      <c r="AA56" s="34"/>
      <c r="AB56" s="34"/>
      <c r="AC56" s="34"/>
      <c r="AD56" s="34"/>
      <c r="AE56" s="34"/>
      <c r="AF56" s="34"/>
      <c r="AG56" s="44">
        <f>Analysis!A14</f>
        <v>0</v>
      </c>
      <c r="AH56" s="45">
        <f>Analysis!B14</f>
        <v>0</v>
      </c>
      <c r="AI56" s="34"/>
      <c r="AJ56" s="30"/>
      <c r="AK56" s="32"/>
      <c r="AL56" s="34"/>
    </row>
    <row r="57" spans="1:38" ht="21" x14ac:dyDescent="0.35">
      <c r="A57" s="61"/>
      <c r="B57" s="61"/>
      <c r="C57" s="61"/>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44">
        <f>Analysis!A15</f>
        <v>0</v>
      </c>
      <c r="AH57" s="45">
        <f>Analysis!B15</f>
        <v>0</v>
      </c>
      <c r="AI57" s="34"/>
      <c r="AJ57" s="30"/>
      <c r="AK57" s="32"/>
      <c r="AL57" s="34"/>
    </row>
    <row r="58" spans="1:38" ht="21" x14ac:dyDescent="0.35">
      <c r="A58" s="61"/>
      <c r="B58" s="61"/>
      <c r="C58" s="61"/>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44">
        <f>Analysis!A16</f>
        <v>0</v>
      </c>
      <c r="AH58" s="45">
        <f>Analysis!B16</f>
        <v>0</v>
      </c>
      <c r="AI58" s="34"/>
      <c r="AJ58" s="30"/>
      <c r="AK58" s="32"/>
      <c r="AL58" s="34"/>
    </row>
    <row r="59" spans="1:38" ht="21.5" thickBot="1" x14ac:dyDescent="0.55000000000000004">
      <c r="A59" s="61"/>
      <c r="B59" s="61"/>
      <c r="C59" s="61"/>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46"/>
      <c r="AH59" s="47"/>
      <c r="AI59" s="34"/>
      <c r="AJ59" s="31"/>
      <c r="AK59" s="33"/>
      <c r="AL59" s="34"/>
    </row>
    <row r="60" spans="1:38" x14ac:dyDescent="0.35">
      <c r="A60" s="61"/>
      <c r="B60" s="61"/>
      <c r="C60" s="61"/>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row>
    <row r="61" spans="1:38" x14ac:dyDescent="0.35">
      <c r="A61" s="61"/>
      <c r="B61" s="61"/>
      <c r="C61" s="61"/>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row>
  </sheetData>
  <mergeCells count="14">
    <mergeCell ref="F11:P12"/>
    <mergeCell ref="A1:AL5"/>
    <mergeCell ref="A6:C61"/>
    <mergeCell ref="O7:P7"/>
    <mergeCell ref="O8:P9"/>
    <mergeCell ref="AG47:AH47"/>
    <mergeCell ref="F8:G9"/>
    <mergeCell ref="F7:G7"/>
    <mergeCell ref="I7:J7"/>
    <mergeCell ref="I8:J9"/>
    <mergeCell ref="L7:M7"/>
    <mergeCell ref="L8:M9"/>
    <mergeCell ref="AJ47:AK47"/>
    <mergeCell ref="R7:AK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Original-Structure Data</vt:lpstr>
      <vt:lpstr>Re-structured Data</vt:lpstr>
      <vt:lpstr>Analysis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2026-10-14T14:01:06Z</dcterms:created>
  <dcterms:modified xsi:type="dcterms:W3CDTF">2026-10-15T15:05:00Z</dcterms:modified>
</cp:coreProperties>
</file>